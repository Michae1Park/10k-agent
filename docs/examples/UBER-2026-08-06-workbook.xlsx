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Scenarios" sheetId="4" state="visible" r:id="rId4"/>
    <sheet xmlns:r="http://schemas.openxmlformats.org/officeDocument/2006/relationships" name="Valuation" sheetId="5" state="visible" r:id="rId5"/>
    <sheet xmlns:r="http://schemas.openxmlformats.org/officeDocument/2006/relationships" name="Revisions" sheetId="6" state="visible" r:id="rId6"/>
    <sheet xmlns:r="http://schemas.openxmlformats.org/officeDocument/2006/relationships" name="Checks" sheetId="7" state="visible" r:id="rId7"/>
    <sheet xmlns:r="http://schemas.openxmlformats.org/officeDocument/2006/relationships" name="Log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000"/>
  </numFmts>
  <fonts count="4">
    <font>
      <name val="Calibri"/>
      <family val="2"/>
      <color theme="1"/>
      <sz val="11"/>
      <scheme val="minor"/>
    </font>
    <font>
      <b val="1"/>
    </font>
    <font>
      <color rgb="000000FF"/>
    </font>
    <font>
      <color rgb="00000000"/>
    </font>
  </fonts>
  <fills count="4">
    <fill>
      <patternFill/>
    </fill>
    <fill>
      <patternFill patternType="gray125"/>
    </fill>
    <fill>
      <patternFill patternType="solid">
        <fgColor rgb="00D9DEE8"/>
      </patternFill>
    </fill>
    <fill>
      <patternFill patternType="solid">
        <fgColor rgb="00F3F6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3" fontId="2" fillId="0" borderId="0" pivotButton="0" quotePrefix="0" xfId="0"/>
    <xf numFmtId="3" fontId="3" fillId="0" borderId="0" pivotButton="0" quotePrefix="0" xfId="0"/>
    <xf numFmtId="3" fontId="3" fillId="3" borderId="0" pivotButton="0" quotePrefix="0" xfId="0"/>
    <xf numFmtId="3" fontId="0" fillId="0" borderId="0" pivotButton="0" quotePrefix="0" xfId="0"/>
    <xf numFmtId="4" fontId="3" fillId="0" borderId="0" pivotButton="0" quotePrefix="0" xfId="0"/>
    <xf numFmtId="4" fontId="3" fillId="3" borderId="0" pivotButton="0" quotePrefix="0" xfId="0"/>
    <xf numFmtId="164" fontId="3" fillId="0" borderId="0" pivotButton="0" quotePrefix="0" xfId="0"/>
    <xf numFmtId="164" fontId="3" fillId="3" borderId="0" pivotButton="0" quotePrefix="0" xfId="0"/>
    <xf numFmtId="164" fontId="0" fillId="0" borderId="0" pivotButton="0" quotePrefix="0" xfId="0"/>
    <xf numFmtId="2" fontId="2" fillId="0" borderId="0" pivotButton="0" quotePrefix="0" xfId="0"/>
    <xf numFmtId="2" fontId="3" fillId="3" borderId="0" pivotButton="0" quotePrefix="0" xfId="0"/>
    <xf numFmtId="2" fontId="3" fillId="0" borderId="0" pivotButton="0" quotePrefix="0" xfId="0"/>
    <xf numFmtId="165" fontId="2" fillId="0" borderId="0" pivotButton="0" quotePrefix="0" xfId="0"/>
    <xf numFmtId="164" fontId="3" fillId="0" borderId="0" pivotButton="0" quotePrefix="0" xfId="0"/>
    <xf numFmtId="164" fontId="3" fillId="3" borderId="0" pivotButton="0" quotePrefix="0" xfId="0"/>
    <xf numFmtId="164" fontId="0" fillId="0" borderId="0" pivotButton="0" quotePrefix="0" xfId="0"/>
    <xf numFmtId="165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omments/comment1.xml><?xml version="1.0" encoding="utf-8"?>
<comments xmlns="http://schemas.openxmlformats.org/spreadsheetml/2006/main">
  <authors>
    <author>model</author>
  </authors>
  <commentList>
    <comment ref="C4" authorId="0" shapeId="0">
      <text>
        <t>kpi:UBER:trips:2023Q1
filed 2023-05-02</t>
      </text>
    </comment>
    <comment ref="D4" authorId="0" shapeId="0">
      <text>
        <t>kpi:UBER:trips:2023Q2
filed 2023-08-01</t>
      </text>
    </comment>
    <comment ref="E4" authorId="0" shapeId="0">
      <text>
        <t>kpi:UBER:trips:2023Q3
filed 2023-11-07</t>
      </text>
    </comment>
    <comment ref="F4" authorId="0" shapeId="0">
      <text>
        <t>kpi:UBER:trips:2023Q4
filed 2024-02-07</t>
      </text>
    </comment>
    <comment ref="H4" authorId="0" shapeId="0">
      <text>
        <t>kpi:UBER:trips:2024Q1
filed 2024-05-08</t>
      </text>
    </comment>
    <comment ref="I4" authorId="0" shapeId="0">
      <text>
        <t>kpi:UBER:trips:2024Q2
filed 2024-08-06</t>
      </text>
    </comment>
    <comment ref="J4" authorId="0" shapeId="0">
      <text>
        <t>kpi:UBER:trips:2024Q3
filed 2024-10-31</t>
      </text>
    </comment>
    <comment ref="K4" authorId="0" shapeId="0">
      <text>
        <t>kpi:UBER:trips:2024Q4
filed 2025-02-05</t>
      </text>
    </comment>
    <comment ref="M4" authorId="0" shapeId="0">
      <text>
        <t>kpi:UBER:trips:2025Q1
filed 2025-05-07</t>
      </text>
    </comment>
    <comment ref="N4" authorId="0" shapeId="0">
      <text>
        <t>kpi:UBER:trips:2025Q2
filed 2025-08-06</t>
      </text>
    </comment>
    <comment ref="O4" authorId="0" shapeId="0">
      <text>
        <t>kpi:UBER:trips:2025Q3
filed 2025-11-04</t>
      </text>
    </comment>
    <comment ref="P4" authorId="0" shapeId="0">
      <text>
        <t>kpi:UBER:trips:2025Q4
filed 2026-02-04</t>
      </text>
    </comment>
    <comment ref="R4" authorId="0" shapeId="0">
      <text>
        <t>kpi:UBER:trips:2026Q1
filed 2026-05-06</t>
      </text>
    </comment>
    <comment ref="S4" authorId="0" shapeId="0">
      <text>
        <t>kpi:UBER:trips:2026Q2
filed 2026-08-05</t>
      </text>
    </comment>
    <comment ref="C5" authorId="0" shapeId="0">
      <text>
        <t>kpi:UBER:mapcs:2023Q1
filed 2023-05-02</t>
      </text>
    </comment>
    <comment ref="D5" authorId="0" shapeId="0">
      <text>
        <t>kpi:UBER:mapcs:2023Q2
filed 2023-08-01</t>
      </text>
    </comment>
    <comment ref="E5" authorId="0" shapeId="0">
      <text>
        <t>kpi:UBER:mapcs:2023Q3
filed 2023-11-07</t>
      </text>
    </comment>
    <comment ref="F5" authorId="0" shapeId="0">
      <text>
        <t>kpi:UBER:mapcs:2023Q4
filed 2024-02-07</t>
      </text>
    </comment>
    <comment ref="H5" authorId="0" shapeId="0">
      <text>
        <t>kpi:UBER:mapcs:2024Q1
filed 2024-05-08</t>
      </text>
    </comment>
    <comment ref="I5" authorId="0" shapeId="0">
      <text>
        <t>kpi:UBER:mapcs:2024Q2
filed 2024-08-06</t>
      </text>
    </comment>
    <comment ref="J5" authorId="0" shapeId="0">
      <text>
        <t>kpi:UBER:mapcs:2024Q3
filed 2024-10-31</t>
      </text>
    </comment>
    <comment ref="K5" authorId="0" shapeId="0">
      <text>
        <t>kpi:UBER:mapcs:2024Q4
filed 2025-02-05</t>
      </text>
    </comment>
    <comment ref="M5" authorId="0" shapeId="0">
      <text>
        <t>kpi:UBER:mapcs:2025Q1
filed 2025-05-07</t>
      </text>
    </comment>
    <comment ref="N5" authorId="0" shapeId="0">
      <text>
        <t>kpi:UBER:mapcs:2025Q2
filed 2025-08-06</t>
      </text>
    </comment>
    <comment ref="O5" authorId="0" shapeId="0">
      <text>
        <t>kpi:UBER:mapcs:2025Q3
filed 2025-11-04</t>
      </text>
    </comment>
    <comment ref="P5" authorId="0" shapeId="0">
      <text>
        <t>kpi:UBER:mapcs:2025Q4
filed 2026-02-04</t>
      </text>
    </comment>
    <comment ref="R5" authorId="0" shapeId="0">
      <text>
        <t>kpi:UBER:mapcs:2026Q1
filed 2026-05-06</t>
      </text>
    </comment>
    <comment ref="S5" authorId="0" shapeId="0">
      <text>
        <t>kpi:UBER:mapcs:2026Q2
filed 2026-08-05</t>
      </text>
    </comment>
    <comment ref="C6" authorId="0" shapeId="0">
      <text>
        <t>kpi:UBER:gross_bookings.mobility:2023Q1
filed 2023-05-02</t>
      </text>
    </comment>
    <comment ref="D6" authorId="0" shapeId="0">
      <text>
        <t>kpi:UBER:gross_bookings.mobility:2023Q2
filed 2023-08-01</t>
      </text>
    </comment>
    <comment ref="E6" authorId="0" shapeId="0">
      <text>
        <t>kpi:UBER:gross_bookings.mobility:2023Q3
filed 2023-11-07</t>
      </text>
    </comment>
    <comment ref="F6" authorId="0" shapeId="0">
      <text>
        <t>kpi:UBER:gross_bookings.mobility:2023Q4
filed 2024-02-07</t>
      </text>
    </comment>
    <comment ref="H6" authorId="0" shapeId="0">
      <text>
        <t>kpi:UBER:gross_bookings.mobility:2024Q1
filed 2024-05-08</t>
      </text>
    </comment>
    <comment ref="I6" authorId="0" shapeId="0">
      <text>
        <t>kpi:UBER:gross_bookings.mobility:2024Q2
filed 2024-08-06</t>
      </text>
    </comment>
    <comment ref="J6" authorId="0" shapeId="0">
      <text>
        <t>kpi:UBER:gross_bookings.mobility:2024Q3
filed 2024-10-31</t>
      </text>
    </comment>
    <comment ref="K6" authorId="0" shapeId="0">
      <text>
        <t>kpi:UBER:gross_bookings.mobility:2024Q4
filed 2025-02-05</t>
      </text>
    </comment>
    <comment ref="M6" authorId="0" shapeId="0">
      <text>
        <t>kpi:UBER:gross_bookings.mobility:2025Q1
filed 2025-05-07</t>
      </text>
    </comment>
    <comment ref="N6" authorId="0" shapeId="0">
      <text>
        <t>kpi:UBER:gross_bookings.mobility:2025Q2
filed 2025-08-06</t>
      </text>
    </comment>
    <comment ref="O6" authorId="0" shapeId="0">
      <text>
        <t>kpi:UBER:gross_bookings.mobility:2025Q3
filed 2025-11-04</t>
      </text>
    </comment>
    <comment ref="P6" authorId="0" shapeId="0">
      <text>
        <t>kpi:UBER:gross_bookings.mobility:2025Q4
filed 2026-02-04</t>
      </text>
    </comment>
    <comment ref="R6" authorId="0" shapeId="0">
      <text>
        <t>kpi:UBER:gross_bookings.mobility:2026Q1
filed 2026-05-06</t>
      </text>
    </comment>
    <comment ref="S6" authorId="0" shapeId="0">
      <text>
        <t>kpi:UBER:gross_bookings.mobility:2026Q2
filed 2026-08-05</t>
      </text>
    </comment>
    <comment ref="C7" authorId="0" shapeId="0">
      <text>
        <t>kpi:UBER:gross_bookings.delivery:2023Q1
filed 2023-05-02</t>
      </text>
    </comment>
    <comment ref="D7" authorId="0" shapeId="0">
      <text>
        <t>kpi:UBER:gross_bookings.delivery:2023Q2
filed 2023-08-01</t>
      </text>
    </comment>
    <comment ref="E7" authorId="0" shapeId="0">
      <text>
        <t>kpi:UBER:gross_bookings.delivery:2023Q3
filed 2023-11-07</t>
      </text>
    </comment>
    <comment ref="F7" authorId="0" shapeId="0">
      <text>
        <t>kpi:UBER:gross_bookings.delivery:2023Q4
filed 2024-02-07</t>
      </text>
    </comment>
    <comment ref="H7" authorId="0" shapeId="0">
      <text>
        <t>kpi:UBER:gross_bookings.delivery:2024Q1
filed 2024-05-08</t>
      </text>
    </comment>
    <comment ref="I7" authorId="0" shapeId="0">
      <text>
        <t>kpi:UBER:gross_bookings.delivery:2024Q2
filed 2024-08-06</t>
      </text>
    </comment>
    <comment ref="J7" authorId="0" shapeId="0">
      <text>
        <t>kpi:UBER:gross_bookings.delivery:2024Q3
filed 2024-10-31</t>
      </text>
    </comment>
    <comment ref="K7" authorId="0" shapeId="0">
      <text>
        <t>kpi:UBER:gross_bookings.delivery:2024Q4
filed 2025-02-05</t>
      </text>
    </comment>
    <comment ref="M7" authorId="0" shapeId="0">
      <text>
        <t>kpi:UBER:gross_bookings.delivery:2025Q1
filed 2025-05-07</t>
      </text>
    </comment>
    <comment ref="N7" authorId="0" shapeId="0">
      <text>
        <t>kpi:UBER:gross_bookings.delivery:2025Q2
filed 2025-08-06</t>
      </text>
    </comment>
    <comment ref="O7" authorId="0" shapeId="0">
      <text>
        <t>kpi:UBER:gross_bookings.delivery:2025Q3
filed 2025-11-04</t>
      </text>
    </comment>
    <comment ref="P7" authorId="0" shapeId="0">
      <text>
        <t>kpi:UBER:gross_bookings.delivery:2025Q4
filed 2026-02-04</t>
      </text>
    </comment>
    <comment ref="R7" authorId="0" shapeId="0">
      <text>
        <t>kpi:UBER:gross_bookings.delivery:2026Q1
filed 2026-05-06</t>
      </text>
    </comment>
    <comment ref="S7" authorId="0" shapeId="0">
      <text>
        <t>kpi:UBER:gross_bookings.delivery:2026Q2
filed 2026-08-05</t>
      </text>
    </comment>
    <comment ref="C8" authorId="0" shapeId="0">
      <text>
        <t>kpi:UBER:gross_bookings.freight:2023Q1
filed 2023-05-02</t>
      </text>
    </comment>
    <comment ref="D8" authorId="0" shapeId="0">
      <text>
        <t>kpi:UBER:gross_bookings.freight:2023Q2
filed 2023-08-01</t>
      </text>
    </comment>
    <comment ref="E8" authorId="0" shapeId="0">
      <text>
        <t>kpi:UBER:gross_bookings.freight:2023Q3
filed 2023-11-07</t>
      </text>
    </comment>
    <comment ref="F8" authorId="0" shapeId="0">
      <text>
        <t>kpi:UBER:gross_bookings.freight:2023Q4
filed 2024-02-07</t>
      </text>
    </comment>
    <comment ref="H8" authorId="0" shapeId="0">
      <text>
        <t>kpi:UBER:gross_bookings.freight:2024Q1
filed 2024-05-08</t>
      </text>
    </comment>
    <comment ref="I8" authorId="0" shapeId="0">
      <text>
        <t>kpi:UBER:gross_bookings.freight:2024Q2
filed 2024-08-06</t>
      </text>
    </comment>
    <comment ref="J8" authorId="0" shapeId="0">
      <text>
        <t>kpi:UBER:gross_bookings.freight:2024Q3
filed 2024-10-31</t>
      </text>
    </comment>
    <comment ref="K8" authorId="0" shapeId="0">
      <text>
        <t>kpi:UBER:gross_bookings.freight:2024Q4
filed 2025-02-05</t>
      </text>
    </comment>
    <comment ref="M8" authorId="0" shapeId="0">
      <text>
        <t>kpi:UBER:gross_bookings.freight:2025Q1
filed 2025-05-07</t>
      </text>
    </comment>
    <comment ref="N8" authorId="0" shapeId="0">
      <text>
        <t>kpi:UBER:gross_bookings.freight:2025Q2
filed 2025-08-06</t>
      </text>
    </comment>
    <comment ref="O8" authorId="0" shapeId="0">
      <text>
        <t>kpi:UBER:gross_bookings.freight:2025Q3
filed 2025-11-04</t>
      </text>
    </comment>
    <comment ref="P8" authorId="0" shapeId="0">
      <text>
        <t>kpi:UBER:gross_bookings.freight:2025Q4
filed 2026-02-04</t>
      </text>
    </comment>
    <comment ref="R8" authorId="0" shapeId="0">
      <text>
        <t>kpi:UBER:gross_bookings.freight:2026Q1
filed 2026-05-06</t>
      </text>
    </comment>
    <comment ref="S8" authorId="0" shapeId="0">
      <text>
        <t>kpi:UBER:gross_bookings.freight:2026Q2
filed 2026-08-05</t>
      </text>
    </comment>
    <comment ref="C9" authorId="0" shapeId="0">
      <text>
        <t>kpi:UBER:gross_bookings:2023Q1
filed 2023-05-02</t>
      </text>
    </comment>
    <comment ref="D9" authorId="0" shapeId="0">
      <text>
        <t>kpi:UBER:gross_bookings:2023Q2
filed 2023-08-01</t>
      </text>
    </comment>
    <comment ref="E9" authorId="0" shapeId="0">
      <text>
        <t>kpi:UBER:gross_bookings:2023Q3
filed 2023-11-07</t>
      </text>
    </comment>
    <comment ref="F9" authorId="0" shapeId="0">
      <text>
        <t>kpi:UBER:gross_bookings:2023Q4
filed 2024-02-07</t>
      </text>
    </comment>
    <comment ref="H9" authorId="0" shapeId="0">
      <text>
        <t>kpi:UBER:gross_bookings:2024Q1
filed 2024-05-08</t>
      </text>
    </comment>
    <comment ref="I9" authorId="0" shapeId="0">
      <text>
        <t>kpi:UBER:gross_bookings:2024Q2
filed 2024-08-06</t>
      </text>
    </comment>
    <comment ref="J9" authorId="0" shapeId="0">
      <text>
        <t>kpi:UBER:gross_bookings:2024Q3
filed 2024-10-31</t>
      </text>
    </comment>
    <comment ref="K9" authorId="0" shapeId="0">
      <text>
        <t>kpi:UBER:gross_bookings:2024Q4
filed 2025-02-05</t>
      </text>
    </comment>
    <comment ref="M9" authorId="0" shapeId="0">
      <text>
        <t>kpi:UBER:gross_bookings:2025Q1
filed 2025-05-07</t>
      </text>
    </comment>
    <comment ref="N9" authorId="0" shapeId="0">
      <text>
        <t>kpi:UBER:gross_bookings:2025Q2
filed 2025-08-06</t>
      </text>
    </comment>
    <comment ref="O9" authorId="0" shapeId="0">
      <text>
        <t>kpi:UBER:gross_bookings:2025Q3
filed 2025-11-04</t>
      </text>
    </comment>
    <comment ref="P9" authorId="0" shapeId="0">
      <text>
        <t>kpi:UBER:gross_bookings:2025Q4
filed 2026-02-04</t>
      </text>
    </comment>
    <comment ref="R9" authorId="0" shapeId="0">
      <text>
        <t>kpi:UBER:gross_bookings:2026Q1
filed 2026-05-06</t>
      </text>
    </comment>
    <comment ref="S9" authorId="0" shapeId="0">
      <text>
        <t>kpi:UBER:gross_bookings:2026Q2
filed 2026-08-05</t>
      </text>
    </comment>
    <comment ref="C11" authorId="0" shapeId="0">
      <text>
        <t>kpi:UBER:revenue.mobility:2023Q1
filed 2023-05-02</t>
      </text>
    </comment>
    <comment ref="D11" authorId="0" shapeId="0">
      <text>
        <t>kpi:UBER:revenue.mobility:2023Q2
filed 2023-08-01</t>
      </text>
    </comment>
    <comment ref="E11" authorId="0" shapeId="0">
      <text>
        <t>kpi:UBER:revenue.mobility:2023Q3
filed 2023-11-07</t>
      </text>
    </comment>
    <comment ref="F11" authorId="0" shapeId="0">
      <text>
        <t>kpi:UBER:revenue.mobility:2023Q4
filed 2024-02-07</t>
      </text>
    </comment>
    <comment ref="H11" authorId="0" shapeId="0">
      <text>
        <t>kpi:UBER:revenue.mobility:2024Q1
filed 2024-05-08</t>
      </text>
    </comment>
    <comment ref="I11" authorId="0" shapeId="0">
      <text>
        <t>kpi:UBER:revenue.mobility:2024Q2
filed 2024-08-06</t>
      </text>
    </comment>
    <comment ref="J11" authorId="0" shapeId="0">
      <text>
        <t>kpi:UBER:revenue.mobility:2024Q3
filed 2024-10-31</t>
      </text>
    </comment>
    <comment ref="K11" authorId="0" shapeId="0">
      <text>
        <t>kpi:UBER:revenue.mobility:2024Q4
filed 2025-02-05</t>
      </text>
    </comment>
    <comment ref="M11" authorId="0" shapeId="0">
      <text>
        <t>kpi:UBER:revenue.mobility:2025Q1
filed 2025-05-07</t>
      </text>
    </comment>
    <comment ref="N11" authorId="0" shapeId="0">
      <text>
        <t>kpi:UBER:revenue.mobility:2025Q2
filed 2025-08-06</t>
      </text>
    </comment>
    <comment ref="O11" authorId="0" shapeId="0">
      <text>
        <t>kpi:UBER:revenue.mobility:2025Q3
filed 2025-11-04</t>
      </text>
    </comment>
    <comment ref="P11" authorId="0" shapeId="0">
      <text>
        <t>kpi:UBER:revenue.mobility:2025Q4
filed 2026-02-04</t>
      </text>
    </comment>
    <comment ref="R11" authorId="0" shapeId="0">
      <text>
        <t>kpi:UBER:revenue.mobility:2026Q1
filed 2026-05-06</t>
      </text>
    </comment>
    <comment ref="S11" authorId="0" shapeId="0">
      <text>
        <t>kpi:UBER:revenue.mobility:2026Q2
filed 2026-08-05</t>
      </text>
    </comment>
    <comment ref="C12" authorId="0" shapeId="0">
      <text>
        <t>kpi:UBER:revenue.delivery:2023Q1
filed 2023-05-02</t>
      </text>
    </comment>
    <comment ref="D12" authorId="0" shapeId="0">
      <text>
        <t>kpi:UBER:revenue.delivery:2023Q2
filed 2023-08-01</t>
      </text>
    </comment>
    <comment ref="E12" authorId="0" shapeId="0">
      <text>
        <t>kpi:UBER:revenue.delivery:2023Q3
filed 2023-11-07</t>
      </text>
    </comment>
    <comment ref="F12" authorId="0" shapeId="0">
      <text>
        <t>kpi:UBER:revenue.delivery:2023Q4
filed 2024-02-07</t>
      </text>
    </comment>
    <comment ref="H12" authorId="0" shapeId="0">
      <text>
        <t>kpi:UBER:revenue.delivery:2024Q1
filed 2024-05-08</t>
      </text>
    </comment>
    <comment ref="I12" authorId="0" shapeId="0">
      <text>
        <t>kpi:UBER:revenue.delivery:2024Q2
filed 2024-08-06</t>
      </text>
    </comment>
    <comment ref="J12" authorId="0" shapeId="0">
      <text>
        <t>kpi:UBER:revenue.delivery:2024Q3
filed 2024-10-31</t>
      </text>
    </comment>
    <comment ref="K12" authorId="0" shapeId="0">
      <text>
        <t>kpi:UBER:revenue.delivery:2024Q4
filed 2025-02-05</t>
      </text>
    </comment>
    <comment ref="M12" authorId="0" shapeId="0">
      <text>
        <t>kpi:UBER:revenue.delivery:2025Q1
filed 2025-05-07</t>
      </text>
    </comment>
    <comment ref="N12" authorId="0" shapeId="0">
      <text>
        <t>kpi:UBER:revenue.delivery:2025Q2
filed 2025-08-06</t>
      </text>
    </comment>
    <comment ref="O12" authorId="0" shapeId="0">
      <text>
        <t>kpi:UBER:revenue.delivery:2025Q3
filed 2025-11-04</t>
      </text>
    </comment>
    <comment ref="P12" authorId="0" shapeId="0">
      <text>
        <t>kpi:UBER:revenue.delivery:2025Q4
filed 2026-02-04</t>
      </text>
    </comment>
    <comment ref="R12" authorId="0" shapeId="0">
      <text>
        <t>kpi:UBER:revenue.delivery:2026Q1
filed 2026-05-06</t>
      </text>
    </comment>
    <comment ref="S12" authorId="0" shapeId="0">
      <text>
        <t>kpi:UBER:revenue.delivery:2026Q2
filed 2026-08-05</t>
      </text>
    </comment>
    <comment ref="C13" authorId="0" shapeId="0">
      <text>
        <t>kpi:UBER:revenue.freight:2023Q1
filed 2023-05-02</t>
      </text>
    </comment>
    <comment ref="D13" authorId="0" shapeId="0">
      <text>
        <t>kpi:UBER:revenue.freight:2023Q2
filed 2023-08-01</t>
      </text>
    </comment>
    <comment ref="E13" authorId="0" shapeId="0">
      <text>
        <t>kpi:UBER:revenue.freight:2023Q3
filed 2023-11-07</t>
      </text>
    </comment>
    <comment ref="F13" authorId="0" shapeId="0">
      <text>
        <t>kpi:UBER:revenue.freight:2023Q4
filed 2024-02-07</t>
      </text>
    </comment>
    <comment ref="H13" authorId="0" shapeId="0">
      <text>
        <t>kpi:UBER:revenue.freight:2024Q1
filed 2024-05-08</t>
      </text>
    </comment>
    <comment ref="I13" authorId="0" shapeId="0">
      <text>
        <t>kpi:UBER:revenue.freight:2024Q2
filed 2024-08-06</t>
      </text>
    </comment>
    <comment ref="J13" authorId="0" shapeId="0">
      <text>
        <t>kpi:UBER:revenue.freight:2024Q3
filed 2024-10-31</t>
      </text>
    </comment>
    <comment ref="K13" authorId="0" shapeId="0">
      <text>
        <t>kpi:UBER:revenue.freight:2024Q4
filed 2025-02-05</t>
      </text>
    </comment>
    <comment ref="M13" authorId="0" shapeId="0">
      <text>
        <t>kpi:UBER:revenue.freight:2025Q1
filed 2025-05-07</t>
      </text>
    </comment>
    <comment ref="N13" authorId="0" shapeId="0">
      <text>
        <t>kpi:UBER:revenue.freight:2025Q2
filed 2025-08-06</t>
      </text>
    </comment>
    <comment ref="O13" authorId="0" shapeId="0">
      <text>
        <t>kpi:UBER:revenue.freight:2025Q3
filed 2025-11-04</t>
      </text>
    </comment>
    <comment ref="P13" authorId="0" shapeId="0">
      <text>
        <t>kpi:UBER:revenue.freight:2025Q4
filed 2026-02-04</t>
      </text>
    </comment>
    <comment ref="R13" authorId="0" shapeId="0">
      <text>
        <t>kpi:UBER:revenue.freight:2026Q1
filed 2026-05-06</t>
      </text>
    </comment>
    <comment ref="S13" authorId="0" shapeId="0">
      <text>
        <t>kpi:UBER:revenue.freight:2026Q2
filed 2026-08-05</t>
      </text>
    </comment>
    <comment ref="C18" authorId="0" shapeId="0">
      <text>
        <t>kpi:UBER:adj_ebitda.mobility:2023Q1
filed 2023-05-02</t>
      </text>
    </comment>
    <comment ref="D18" authorId="0" shapeId="0">
      <text>
        <t>kpi:UBER:adj_ebitda.mobility:2023Q2
filed 2023-08-01</t>
      </text>
    </comment>
    <comment ref="E18" authorId="0" shapeId="0">
      <text>
        <t>kpi:UBER:adj_ebitda.mobility:2023Q3
filed 2023-11-07</t>
      </text>
    </comment>
    <comment ref="F18" authorId="0" shapeId="0">
      <text>
        <t>kpi:UBER:adj_ebitda.mobility:2023Q4
filed 2024-02-07</t>
      </text>
    </comment>
    <comment ref="H18" authorId="0" shapeId="0">
      <text>
        <t>kpi:UBER:adj_ebitda.mobility:2024Q1
filed 2024-05-08</t>
      </text>
    </comment>
    <comment ref="I18" authorId="0" shapeId="0">
      <text>
        <t>kpi:UBER:adj_ebitda.mobility:2024Q2
filed 2024-08-06</t>
      </text>
    </comment>
    <comment ref="J18" authorId="0" shapeId="0">
      <text>
        <t>kpi:UBER:adj_ebitda.mobility:2024Q3
filed 2024-10-31</t>
      </text>
    </comment>
    <comment ref="K18" authorId="0" shapeId="0">
      <text>
        <t>kpi:UBER:adj_ebitda.mobility:2024Q4
filed 2025-02-05</t>
      </text>
    </comment>
    <comment ref="M18" authorId="0" shapeId="0">
      <text>
        <t>kpi:UBER:adj_ebitda.mobility:2025Q1
filed 2025-05-07</t>
      </text>
    </comment>
    <comment ref="N18" authorId="0" shapeId="0">
      <text>
        <t>kpi:UBER:adj_ebitda.mobility:2025Q2
filed 2025-08-06</t>
      </text>
    </comment>
    <comment ref="O18" authorId="0" shapeId="0">
      <text>
        <t>kpi:UBER:adj_ebitda.mobility:2025Q3
filed 2025-11-04</t>
      </text>
    </comment>
    <comment ref="P18" authorId="0" shapeId="0">
      <text>
        <t>kpi:UBER:adj_ebitda.mobility:2025Q4
filed 2026-02-04</t>
      </text>
    </comment>
    <comment ref="C19" authorId="0" shapeId="0">
      <text>
        <t>kpi:UBER:adj_ebitda.delivery:2023Q1
filed 2023-05-02</t>
      </text>
    </comment>
    <comment ref="D19" authorId="0" shapeId="0">
      <text>
        <t>kpi:UBER:adj_ebitda.delivery:2023Q2
filed 2023-08-01</t>
      </text>
    </comment>
    <comment ref="E19" authorId="0" shapeId="0">
      <text>
        <t>kpi:UBER:adj_ebitda.delivery:2023Q3
filed 2023-11-07</t>
      </text>
    </comment>
    <comment ref="F19" authorId="0" shapeId="0">
      <text>
        <t>kpi:UBER:adj_ebitda.delivery:2023Q4
filed 2024-02-07</t>
      </text>
    </comment>
    <comment ref="H19" authorId="0" shapeId="0">
      <text>
        <t>kpi:UBER:adj_ebitda.delivery:2024Q1
filed 2024-05-08</t>
      </text>
    </comment>
    <comment ref="I19" authorId="0" shapeId="0">
      <text>
        <t>kpi:UBER:adj_ebitda.delivery:2024Q2
filed 2024-08-06</t>
      </text>
    </comment>
    <comment ref="J19" authorId="0" shapeId="0">
      <text>
        <t>kpi:UBER:adj_ebitda.delivery:2024Q3
filed 2024-10-31</t>
      </text>
    </comment>
    <comment ref="K19" authorId="0" shapeId="0">
      <text>
        <t>kpi:UBER:adj_ebitda.delivery:2024Q4
filed 2025-02-05</t>
      </text>
    </comment>
    <comment ref="M19" authorId="0" shapeId="0">
      <text>
        <t>kpi:UBER:adj_ebitda.delivery:2025Q1
filed 2025-05-07</t>
      </text>
    </comment>
    <comment ref="N19" authorId="0" shapeId="0">
      <text>
        <t>kpi:UBER:adj_ebitda.delivery:2025Q2
filed 2025-08-06</t>
      </text>
    </comment>
    <comment ref="O19" authorId="0" shapeId="0">
      <text>
        <t>kpi:UBER:adj_ebitda.delivery:2025Q3
filed 2025-11-04</t>
      </text>
    </comment>
    <comment ref="P19" authorId="0" shapeId="0">
      <text>
        <t>kpi:UBER:adj_ebitda.delivery:2025Q4
filed 2026-02-04</t>
      </text>
    </comment>
    <comment ref="C20" authorId="0" shapeId="0">
      <text>
        <t>kpi:UBER:adj_ebitda.freight:2023Q1
filed 2023-05-02</t>
      </text>
    </comment>
    <comment ref="D20" authorId="0" shapeId="0">
      <text>
        <t>kpi:UBER:adj_ebitda.freight:2023Q2
filed 2023-08-01</t>
      </text>
    </comment>
    <comment ref="E20" authorId="0" shapeId="0">
      <text>
        <t>kpi:UBER:adj_ebitda.freight:2023Q3
filed 2023-11-07</t>
      </text>
    </comment>
    <comment ref="F20" authorId="0" shapeId="0">
      <text>
        <t>kpi:UBER:adj_ebitda.freight:2023Q4
filed 2024-02-07</t>
      </text>
    </comment>
    <comment ref="H20" authorId="0" shapeId="0">
      <text>
        <t>kpi:UBER:adj_ebitda.freight:2024Q1
filed 2024-05-08</t>
      </text>
    </comment>
    <comment ref="I20" authorId="0" shapeId="0">
      <text>
        <t>kpi:UBER:adj_ebitda.freight:2024Q2
filed 2024-08-06</t>
      </text>
    </comment>
    <comment ref="J20" authorId="0" shapeId="0">
      <text>
        <t>kpi:UBER:adj_ebitda.freight:2024Q3
filed 2024-10-31</t>
      </text>
    </comment>
    <comment ref="K20" authorId="0" shapeId="0">
      <text>
        <t>kpi:UBER:adj_ebitda.freight:2024Q4
filed 2025-02-05</t>
      </text>
    </comment>
    <comment ref="M20" authorId="0" shapeId="0">
      <text>
        <t>kpi:UBER:adj_ebitda.freight:2025Q1
filed 2025-05-07</t>
      </text>
    </comment>
    <comment ref="N20" authorId="0" shapeId="0">
      <text>
        <t>kpi:UBER:adj_ebitda.freight:2025Q2
filed 2025-08-06</t>
      </text>
    </comment>
    <comment ref="O20" authorId="0" shapeId="0">
      <text>
        <t>kpi:UBER:adj_ebitda.freight:2025Q3
filed 2025-11-04</t>
      </text>
    </comment>
    <comment ref="P20" authorId="0" shapeId="0">
      <text>
        <t>kpi:UBER:adj_ebitda.freight:2025Q4
filed 2026-02-04</t>
      </text>
    </comment>
    <comment ref="C21" authorId="0" shapeId="0">
      <text>
        <t>kpi:UBER:adj_ebitda.corporate:2023Q1
filed 2023-05-02</t>
      </text>
    </comment>
    <comment ref="D21" authorId="0" shapeId="0">
      <text>
        <t>kpi:UBER:adj_ebitda.corporate:2023Q2
filed 2023-08-01</t>
      </text>
    </comment>
    <comment ref="E21" authorId="0" shapeId="0">
      <text>
        <t>kpi:UBER:adj_ebitda.corporate:2023Q3
filed 2023-11-07</t>
      </text>
    </comment>
    <comment ref="F21" authorId="0" shapeId="0">
      <text>
        <t>kpi:UBER:adj_ebitda.corporate:2023Q4
filed 2024-02-07</t>
      </text>
    </comment>
    <comment ref="H21" authorId="0" shapeId="0">
      <text>
        <t>kpi:UBER:adj_ebitda.corporate:2024Q1
filed 2024-05-08</t>
      </text>
    </comment>
    <comment ref="I21" authorId="0" shapeId="0">
      <text>
        <t>kpi:UBER:adj_ebitda.corporate:2024Q2
filed 2024-08-06</t>
      </text>
    </comment>
    <comment ref="J21" authorId="0" shapeId="0">
      <text>
        <t>kpi:UBER:adj_ebitda.corporate:2024Q3
filed 2024-10-31</t>
      </text>
    </comment>
    <comment ref="K21" authorId="0" shapeId="0">
      <text>
        <t>kpi:UBER:adj_ebitda.corporate:2024Q4
filed 2025-02-05</t>
      </text>
    </comment>
    <comment ref="M21" authorId="0" shapeId="0">
      <text>
        <t>kpi:UBER:adj_ebitda.corporate:2025Q1
filed 2025-05-07</t>
      </text>
    </comment>
    <comment ref="N21" authorId="0" shapeId="0">
      <text>
        <t>kpi:UBER:adj_ebitda.corporate:2025Q2
filed 2025-08-06</t>
      </text>
    </comment>
    <comment ref="O21" authorId="0" shapeId="0">
      <text>
        <t>kpi:UBER:adj_ebitda.corporate:2025Q3
filed 2025-11-04</t>
      </text>
    </comment>
    <comment ref="P21" authorId="0" shapeId="0">
      <text>
        <t>kpi:UBER:adj_ebitda.corporate:2025Q4
filed 2026-02-04</t>
      </text>
    </comment>
    <comment ref="C37" authorId="0" shapeId="0">
      <text>
        <t>q:UBER:sbc:2023Q1
filed 2024-05-08</t>
      </text>
    </comment>
    <comment ref="D37" authorId="0" shapeId="0">
      <text>
        <t>q:UBER:sbc:2023Q2
filed 2024-08-06</t>
      </text>
    </comment>
    <comment ref="E37" authorId="0" shapeId="0">
      <text>
        <t>q:UBER:sbc:2023Q3
filed 2024-10-31</t>
      </text>
    </comment>
    <comment ref="F37" authorId="0" shapeId="0">
      <text>
        <t>q:UBER:sbc:2023Q4
filed 2026-02-13</t>
      </text>
    </comment>
    <comment ref="H37" authorId="0" shapeId="0">
      <text>
        <t>q:UBER:sbc:2024Q1
filed 2025-05-07</t>
      </text>
    </comment>
    <comment ref="I37" authorId="0" shapeId="0">
      <text>
        <t>q:UBER:sbc:2024Q2
filed 2025-08-06</t>
      </text>
    </comment>
    <comment ref="J37" authorId="0" shapeId="0">
      <text>
        <t>q:UBER:sbc:2024Q3
filed 2025-11-04</t>
      </text>
    </comment>
    <comment ref="K37" authorId="0" shapeId="0">
      <text>
        <t>q:UBER:sbc:2024Q4
filed 2026-02-13</t>
      </text>
    </comment>
    <comment ref="M37" authorId="0" shapeId="0">
      <text>
        <t>q:UBER:sbc:2025Q1
filed 2026-05-06</t>
      </text>
    </comment>
    <comment ref="N37" authorId="0" shapeId="0">
      <text>
        <t>q:UBER:sbc:2025Q2
filed 2026-08-05</t>
      </text>
    </comment>
    <comment ref="O37" authorId="0" shapeId="0">
      <text>
        <t>q:UBER:sbc:2025Q3
filed 2026-08-05</t>
      </text>
    </comment>
    <comment ref="P37" authorId="0" shapeId="0">
      <text>
        <t>q:UBER:sbc:2025Q4
filed 2026-02-13</t>
      </text>
    </comment>
    <comment ref="R37" authorId="0" shapeId="0">
      <text>
        <t>q:UBER:sbc:2026Q1
filed 2026-05-06</t>
      </text>
    </comment>
    <comment ref="S37" authorId="0" shapeId="0">
      <text>
        <t>q:UBER:sbc:2026Q2
filed 2026-08-05</t>
      </text>
    </comment>
    <comment ref="C38" authorId="0" shapeId="0">
      <text>
        <t>q:UBER:d_and_a:2023Q1
filed 2024-05-08</t>
      </text>
    </comment>
    <comment ref="D38" authorId="0" shapeId="0">
      <text>
        <t>q:UBER:d_and_a:2023Q2
filed 2023-08-02</t>
      </text>
    </comment>
    <comment ref="E38" authorId="0" shapeId="0">
      <text>
        <t>q:UBER:d_and_a:2023Q3
filed 2023-11-07</t>
      </text>
    </comment>
    <comment ref="F38" authorId="0" shapeId="0">
      <text>
        <t>q:UBER:d_and_a:2023Q4
filed 2026-02-13</t>
      </text>
    </comment>
    <comment ref="H38" authorId="0" shapeId="0">
      <text>
        <t>q:UBER:d_and_a:2024Q1
filed 2025-05-07</t>
      </text>
    </comment>
    <comment ref="I38" authorId="0" shapeId="0">
      <text>
        <t>q:UBER:d_and_a:2024Q2
filed 2025-08-06</t>
      </text>
    </comment>
    <comment ref="J38" authorId="0" shapeId="0">
      <text>
        <t>q:UBER:d_and_a:2024Q3
filed 2025-11-04</t>
      </text>
    </comment>
    <comment ref="K38" authorId="0" shapeId="0">
      <text>
        <t>q:UBER:d_and_a:2024Q4
filed 2026-02-13</t>
      </text>
    </comment>
    <comment ref="M38" authorId="0" shapeId="0">
      <text>
        <t>q:UBER:d_and_a:2025Q1
filed 2026-05-06</t>
      </text>
    </comment>
    <comment ref="N38" authorId="0" shapeId="0">
      <text>
        <t>q:UBER:d_and_a:2025Q2
filed 2026-08-05</t>
      </text>
    </comment>
    <comment ref="O38" authorId="0" shapeId="0">
      <text>
        <t>q:UBER:d_and_a:2025Q3
filed 2025-11-04</t>
      </text>
    </comment>
    <comment ref="P38" authorId="0" shapeId="0">
      <text>
        <t>q:UBER:d_and_a:2025Q4
filed 2026-02-13</t>
      </text>
    </comment>
    <comment ref="R38" authorId="0" shapeId="0">
      <text>
        <t>q:UBER:d_and_a:2026Q1
filed 2026-05-06</t>
      </text>
    </comment>
    <comment ref="S38" authorId="0" shapeId="0">
      <text>
        <t>q:UBER:d_and_a:2026Q2
filed 2026-08-05</t>
      </text>
    </comment>
    <comment ref="C39" authorId="0" shapeId="0">
      <text>
        <t>q:UBER:operating_income:2023Q1
filed 2024-05-08</t>
      </text>
    </comment>
    <comment ref="D39" authorId="0" shapeId="0">
      <text>
        <t>q:UBER:operating_income:2023Q2
filed 2024-08-06</t>
      </text>
    </comment>
    <comment ref="E39" authorId="0" shapeId="0">
      <text>
        <t>q:UBER:operating_income:2023Q3
filed 2024-10-31</t>
      </text>
    </comment>
    <comment ref="F39" authorId="0" shapeId="0">
      <text>
        <t>q:UBER:operating_income:2023Q4
filed 2026-02-13</t>
      </text>
    </comment>
    <comment ref="H39" authorId="0" shapeId="0">
      <text>
        <t>q:UBER:operating_income:2024Q1
filed 2025-05-07</t>
      </text>
    </comment>
    <comment ref="I39" authorId="0" shapeId="0">
      <text>
        <t>q:UBER:operating_income:2024Q2
filed 2025-08-06</t>
      </text>
    </comment>
    <comment ref="J39" authorId="0" shapeId="0">
      <text>
        <t>q:UBER:operating_income:2024Q3
filed 2025-11-04</t>
      </text>
    </comment>
    <comment ref="K39" authorId="0" shapeId="0">
      <text>
        <t>q:UBER:operating_income:2024Q4
filed 2026-02-13</t>
      </text>
    </comment>
    <comment ref="M39" authorId="0" shapeId="0">
      <text>
        <t>q:UBER:operating_income:2025Q1
filed 2026-05-06</t>
      </text>
    </comment>
    <comment ref="N39" authorId="0" shapeId="0">
      <text>
        <t>q:UBER:operating_income:2025Q2
filed 2026-08-05</t>
      </text>
    </comment>
    <comment ref="O39" authorId="0" shapeId="0">
      <text>
        <t>q:UBER:operating_income:2025Q3
filed 2025-11-04</t>
      </text>
    </comment>
    <comment ref="P39" authorId="0" shapeId="0">
      <text>
        <t>q:UBER:operating_income:2025Q4
filed 2026-02-13</t>
      </text>
    </comment>
    <comment ref="R39" authorId="0" shapeId="0">
      <text>
        <t>q:UBER:operating_income:2026Q1
filed 2026-05-06</t>
      </text>
    </comment>
    <comment ref="S39" authorId="0" shapeId="0">
      <text>
        <t>q:UBER:operating_income:2026Q2
filed 2026-08-05</t>
      </text>
    </comment>
    <comment ref="C41" authorId="0" shapeId="0">
      <text>
        <t>q:UBER:income_tax:2023Q1
filed 2024-05-08</t>
      </text>
    </comment>
    <comment ref="D41" authorId="0" shapeId="0">
      <text>
        <t>q:UBER:income_tax:2023Q2
filed 2024-08-06</t>
      </text>
    </comment>
    <comment ref="E41" authorId="0" shapeId="0">
      <text>
        <t>q:UBER:income_tax:2023Q3
filed 2024-10-31</t>
      </text>
    </comment>
    <comment ref="F41" authorId="0" shapeId="0">
      <text>
        <t>q:UBER:income_tax:2023Q4
filed 2026-02-13</t>
      </text>
    </comment>
    <comment ref="H41" authorId="0" shapeId="0">
      <text>
        <t>q:UBER:income_tax:2024Q1
filed 2025-05-07</t>
      </text>
    </comment>
    <comment ref="I41" authorId="0" shapeId="0">
      <text>
        <t>q:UBER:income_tax:2024Q2
filed 2025-08-06</t>
      </text>
    </comment>
    <comment ref="J41" authorId="0" shapeId="0">
      <text>
        <t>q:UBER:income_tax:2024Q3
filed 2025-11-04</t>
      </text>
    </comment>
    <comment ref="K41" authorId="0" shapeId="0">
      <text>
        <t>q:UBER:income_tax:2024Q4
filed 2026-02-13</t>
      </text>
    </comment>
    <comment ref="M41" authorId="0" shapeId="0">
      <text>
        <t>q:UBER:income_tax:2025Q1
filed 2026-05-06</t>
      </text>
    </comment>
    <comment ref="N41" authorId="0" shapeId="0">
      <text>
        <t>q:UBER:income_tax:2025Q2
filed 2026-08-05</t>
      </text>
    </comment>
    <comment ref="O41" authorId="0" shapeId="0">
      <text>
        <t>q:UBER:income_tax:2025Q3
filed 2025-11-04</t>
      </text>
    </comment>
    <comment ref="P41" authorId="0" shapeId="0">
      <text>
        <t>q:UBER:income_tax:2025Q4
filed 2026-02-13</t>
      </text>
    </comment>
    <comment ref="R41" authorId="0" shapeId="0">
      <text>
        <t>q:UBER:income_tax:2026Q1
filed 2026-05-06</t>
      </text>
    </comment>
    <comment ref="S41" authorId="0" shapeId="0">
      <text>
        <t>q:UBER:income_tax:2026Q2
filed 2026-08-05</t>
      </text>
    </comment>
    <comment ref="C42" authorId="0" shapeId="0">
      <text>
        <t>q:UBER:net_income:2023Q1
filed 2024-05-08</t>
      </text>
    </comment>
    <comment ref="D42" authorId="0" shapeId="0">
      <text>
        <t>q:UBER:net_income:2023Q2
filed 2024-08-06</t>
      </text>
    </comment>
    <comment ref="E42" authorId="0" shapeId="0">
      <text>
        <t>q:UBER:net_income:2023Q3
filed 2024-10-31</t>
      </text>
    </comment>
    <comment ref="F42" authorId="0" shapeId="0">
      <text>
        <t>q:UBER:net_income:2023Q4
filed 2026-02-13</t>
      </text>
    </comment>
    <comment ref="H42" authorId="0" shapeId="0">
      <text>
        <t>q:UBER:net_income:2024Q1
filed 2025-05-07</t>
      </text>
    </comment>
    <comment ref="I42" authorId="0" shapeId="0">
      <text>
        <t>q:UBER:net_income:2024Q2
filed 2025-08-06</t>
      </text>
    </comment>
    <comment ref="J42" authorId="0" shapeId="0">
      <text>
        <t>q:UBER:net_income:2024Q3
filed 2025-11-04</t>
      </text>
    </comment>
    <comment ref="K42" authorId="0" shapeId="0">
      <text>
        <t>q:UBER:net_income:2024Q4
filed 2026-02-13</t>
      </text>
    </comment>
    <comment ref="M42" authorId="0" shapeId="0">
      <text>
        <t>q:UBER:net_income:2025Q1
filed 2026-05-06</t>
      </text>
    </comment>
    <comment ref="N42" authorId="0" shapeId="0">
      <text>
        <t>q:UBER:net_income:2025Q2
filed 2026-08-05</t>
      </text>
    </comment>
    <comment ref="O42" authorId="0" shapeId="0">
      <text>
        <t>q:UBER:net_income:2025Q3
filed 2025-11-04</t>
      </text>
    </comment>
    <comment ref="P42" authorId="0" shapeId="0">
      <text>
        <t>q:UBER:net_income:2025Q4
filed 2026-02-13</t>
      </text>
    </comment>
    <comment ref="R42" authorId="0" shapeId="0">
      <text>
        <t>q:UBER:net_income:2026Q1
filed 2026-05-06</t>
      </text>
    </comment>
    <comment ref="S42" authorId="0" shapeId="0">
      <text>
        <t>q:UBER:net_income:2026Q2
filed 2026-08-05</t>
      </text>
    </comment>
    <comment ref="C44" authorId="0" shapeId="0">
      <text>
        <t>q:UBER:shares_diluted:2023Q1
filed 2024-05-08</t>
      </text>
    </comment>
    <comment ref="D44" authorId="0" shapeId="0">
      <text>
        <t>q:UBER:shares_diluted:2023Q2
filed 2024-08-06</t>
      </text>
    </comment>
    <comment ref="E44" authorId="0" shapeId="0">
      <text>
        <t>q:UBER:shares_diluted:2023Q3
filed 2024-10-31</t>
      </text>
    </comment>
    <comment ref="G44" authorId="0" shapeId="0">
      <text>
        <t>q:UBER:shares_diluted:FY2023
filed 2026-02-13</t>
      </text>
    </comment>
    <comment ref="H44" authorId="0" shapeId="0">
      <text>
        <t>q:UBER:shares_diluted:2024Q1
filed 2025-05-07</t>
      </text>
    </comment>
    <comment ref="I44" authorId="0" shapeId="0">
      <text>
        <t>q:UBER:shares_diluted:2024Q2
filed 2025-08-06</t>
      </text>
    </comment>
    <comment ref="J44" authorId="0" shapeId="0">
      <text>
        <t>q:UBER:shares_diluted:2024Q3
filed 2025-11-04</t>
      </text>
    </comment>
    <comment ref="L44" authorId="0" shapeId="0">
      <text>
        <t>q:UBER:shares_diluted:FY2024
filed 2026-02-13</t>
      </text>
    </comment>
    <comment ref="M44" authorId="0" shapeId="0">
      <text>
        <t>q:UBER:shares_diluted:2025Q1
filed 2026-05-06</t>
      </text>
    </comment>
    <comment ref="N44" authorId="0" shapeId="0">
      <text>
        <t>q:UBER:shares_diluted:2025Q2
filed 2026-08-05</t>
      </text>
    </comment>
    <comment ref="O44" authorId="0" shapeId="0">
      <text>
        <t>q:UBER:shares_diluted:2025Q3
filed 2025-11-04</t>
      </text>
    </comment>
    <comment ref="Q44" authorId="0" shapeId="0">
      <text>
        <t>q:UBER:shares_diluted:FY2025
filed 2026-02-13</t>
      </text>
    </comment>
    <comment ref="R44" authorId="0" shapeId="0">
      <text>
        <t>q:UBER:shares_diluted:2026Q1
filed 2026-05-06</t>
      </text>
    </comment>
    <comment ref="S44" authorId="0" shapeId="0">
      <text>
        <t>q:UBER:shares_diluted:2026Q2
filed 2026-08-05</t>
      </text>
    </comment>
    <comment ref="C45" authorId="0" shapeId="0">
      <text>
        <t>q:UBER:eps_diluted:2023Q1
filed 2024-05-08</t>
      </text>
    </comment>
    <comment ref="D45" authorId="0" shapeId="0">
      <text>
        <t>q:UBER:eps_diluted:2023Q2
filed 2024-08-06</t>
      </text>
    </comment>
    <comment ref="E45" authorId="0" shapeId="0">
      <text>
        <t>q:UBER:eps_diluted:2023Q3
filed 2024-10-31</t>
      </text>
    </comment>
    <comment ref="F45" authorId="0" shapeId="0">
      <text>
        <t>kpi:UBER:eps_diluted:2023Q4
filed 2024-02-07</t>
      </text>
    </comment>
    <comment ref="G45" authorId="0" shapeId="0">
      <text>
        <t>q:UBER:eps_diluted:FY2023
filed 2026-02-13</t>
      </text>
    </comment>
    <comment ref="H45" authorId="0" shapeId="0">
      <text>
        <t>q:UBER:eps_diluted:2024Q1
filed 2025-05-07</t>
      </text>
    </comment>
    <comment ref="I45" authorId="0" shapeId="0">
      <text>
        <t>q:UBER:eps_diluted:2024Q2
filed 2025-08-06</t>
      </text>
    </comment>
    <comment ref="J45" authorId="0" shapeId="0">
      <text>
        <t>q:UBER:eps_diluted:2024Q3
filed 2025-11-04</t>
      </text>
    </comment>
    <comment ref="K45" authorId="0" shapeId="0">
      <text>
        <t>kpi:UBER:eps_diluted:2024Q4
filed 2025-02-05</t>
      </text>
    </comment>
    <comment ref="L45" authorId="0" shapeId="0">
      <text>
        <t>q:UBER:eps_diluted:FY2024
filed 2026-02-13</t>
      </text>
    </comment>
    <comment ref="M45" authorId="0" shapeId="0">
      <text>
        <t>q:UBER:eps_diluted:2025Q1
filed 2026-05-06</t>
      </text>
    </comment>
    <comment ref="N45" authorId="0" shapeId="0">
      <text>
        <t>q:UBER:eps_diluted:2025Q2
filed 2026-08-05</t>
      </text>
    </comment>
    <comment ref="O45" authorId="0" shapeId="0">
      <text>
        <t>q:UBER:eps_diluted:2025Q3
filed 2025-11-04</t>
      </text>
    </comment>
    <comment ref="P45" authorId="0" shapeId="0">
      <text>
        <t>kpi:UBER:eps_diluted:2025Q4
filed 2026-02-04</t>
      </text>
    </comment>
    <comment ref="Q45" authorId="0" shapeId="0">
      <text>
        <t>q:UBER:eps_diluted:FY2025
filed 2026-02-13</t>
      </text>
    </comment>
    <comment ref="R45" authorId="0" shapeId="0">
      <text>
        <t>q:UBER:eps_diluted:2026Q1
filed 2026-05-06</t>
      </text>
    </comment>
    <comment ref="S45" authorId="0" shapeId="0">
      <text>
        <t>q:UBER:eps_diluted:2026Q2
filed 2026-08-05</t>
      </text>
    </comment>
    <comment ref="C46" authorId="0" shapeId="0">
      <text>
        <t>kpi:UBER:adj_ebitda:2023Q1
filed 2023-05-02</t>
      </text>
    </comment>
    <comment ref="D46" authorId="0" shapeId="0">
      <text>
        <t>kpi:UBER:adj_ebitda:2023Q2
filed 2023-08-01</t>
      </text>
    </comment>
    <comment ref="E46" authorId="0" shapeId="0">
      <text>
        <t>kpi:UBER:adj_ebitda:2023Q3
filed 2023-11-07</t>
      </text>
    </comment>
    <comment ref="F46" authorId="0" shapeId="0">
      <text>
        <t>kpi:UBER:adj_ebitda:2023Q4
filed 2024-02-07</t>
      </text>
    </comment>
    <comment ref="H46" authorId="0" shapeId="0">
      <text>
        <t>kpi:UBER:adj_ebitda:2024Q1
filed 2024-05-08</t>
      </text>
    </comment>
    <comment ref="I46" authorId="0" shapeId="0">
      <text>
        <t>kpi:UBER:adj_ebitda:2024Q2
filed 2024-08-06</t>
      </text>
    </comment>
    <comment ref="J46" authorId="0" shapeId="0">
      <text>
        <t>kpi:UBER:adj_ebitda:2024Q3
filed 2024-10-31</t>
      </text>
    </comment>
    <comment ref="K46" authorId="0" shapeId="0">
      <text>
        <t>kpi:UBER:adj_ebitda:2024Q4
filed 2025-02-05</t>
      </text>
    </comment>
    <comment ref="M46" authorId="0" shapeId="0">
      <text>
        <t>kpi:UBER:adj_ebitda:2025Q1
filed 2025-05-07</t>
      </text>
    </comment>
    <comment ref="N46" authorId="0" shapeId="0">
      <text>
        <t>kpi:UBER:adj_ebitda:2025Q2
filed 2025-08-06</t>
      </text>
    </comment>
    <comment ref="O46" authorId="0" shapeId="0">
      <text>
        <t>kpi:UBER:adj_ebitda:2025Q3
filed 2025-11-04</t>
      </text>
    </comment>
    <comment ref="P46" authorId="0" shapeId="0">
      <text>
        <t>kpi:UBER:adj_ebitda:2025Q4
filed 2026-02-04</t>
      </text>
    </comment>
    <comment ref="R46" authorId="0" shapeId="0">
      <text>
        <t>kpi:UBER:adj_ebitda:2026Q1
filed 2026-05-06</t>
      </text>
    </comment>
    <comment ref="S46" authorId="0" shapeId="0">
      <text>
        <t>kpi:UBER:adj_ebitda:2026Q2
filed 2026-08-05</t>
      </text>
    </comment>
    <comment ref="C47" authorId="0" shapeId="0">
      <text>
        <t>q:UBER:revenue:2023Q1
filed 2024-05-08</t>
      </text>
    </comment>
    <comment ref="D47" authorId="0" shapeId="0">
      <text>
        <t>q:UBER:revenue:2023Q2
filed 2024-08-06</t>
      </text>
    </comment>
    <comment ref="E47" authorId="0" shapeId="0">
      <text>
        <t>q:UBER:revenue:2023Q3
filed 2024-10-31</t>
      </text>
    </comment>
    <comment ref="F47" authorId="0" shapeId="0">
      <text>
        <t>q:UBER:revenue:2023Q4
filed 2026-02-13</t>
      </text>
    </comment>
    <comment ref="H47" authorId="0" shapeId="0">
      <text>
        <t>q:UBER:revenue:2024Q1
filed 2025-05-07</t>
      </text>
    </comment>
    <comment ref="I47" authorId="0" shapeId="0">
      <text>
        <t>q:UBER:revenue:2024Q2
filed 2025-08-06</t>
      </text>
    </comment>
    <comment ref="J47" authorId="0" shapeId="0">
      <text>
        <t>q:UBER:revenue:2024Q3
filed 2025-11-04</t>
      </text>
    </comment>
    <comment ref="K47" authorId="0" shapeId="0">
      <text>
        <t>q:UBER:revenue:2024Q4
filed 2026-02-13</t>
      </text>
    </comment>
    <comment ref="M47" authorId="0" shapeId="0">
      <text>
        <t>q:UBER:revenue:2025Q1
filed 2026-05-06</t>
      </text>
    </comment>
    <comment ref="N47" authorId="0" shapeId="0">
      <text>
        <t>q:UBER:revenue:2025Q2
filed 2026-08-05</t>
      </text>
    </comment>
    <comment ref="O47" authorId="0" shapeId="0">
      <text>
        <t>q:UBER:revenue:2025Q3
filed 2025-11-04</t>
      </text>
    </comment>
    <comment ref="P47" authorId="0" shapeId="0">
      <text>
        <t>q:UBER:revenue:2025Q4
filed 2026-02-13</t>
      </text>
    </comment>
    <comment ref="R47" authorId="0" shapeId="0">
      <text>
        <t>q:UBER:revenue:2026Q1
filed 2026-05-06</t>
      </text>
    </comment>
    <comment ref="S47" authorId="0" shapeId="0">
      <text>
        <t>q:UBER:revenue:2026Q2
filed 2026-08-05</t>
      </text>
    </comment>
    <comment ref="C49" authorId="0" shapeId="0">
      <text>
        <t>q:UBER:operating_cash_flow:2023Q1
filed 2024-05-08</t>
      </text>
    </comment>
    <comment ref="D49" authorId="0" shapeId="0">
      <text>
        <t>q:UBER:operating_cash_flow:2023Q2
filed 2024-08-06</t>
      </text>
    </comment>
    <comment ref="E49" authorId="0" shapeId="0">
      <text>
        <t>q:UBER:operating_cash_flow:2023Q3
filed 2024-10-31</t>
      </text>
    </comment>
    <comment ref="F49" authorId="0" shapeId="0">
      <text>
        <t>q:UBER:operating_cash_flow:2023Q4
filed 2026-02-13</t>
      </text>
    </comment>
    <comment ref="H49" authorId="0" shapeId="0">
      <text>
        <t>q:UBER:operating_cash_flow:2024Q1
filed 2025-05-07</t>
      </text>
    </comment>
    <comment ref="I49" authorId="0" shapeId="0">
      <text>
        <t>q:UBER:operating_cash_flow:2024Q2
filed 2025-08-06</t>
      </text>
    </comment>
    <comment ref="J49" authorId="0" shapeId="0">
      <text>
        <t>q:UBER:operating_cash_flow:2024Q3
filed 2025-11-04</t>
      </text>
    </comment>
    <comment ref="K49" authorId="0" shapeId="0">
      <text>
        <t>q:UBER:operating_cash_flow:2024Q4
filed 2026-02-13</t>
      </text>
    </comment>
    <comment ref="M49" authorId="0" shapeId="0">
      <text>
        <t>q:UBER:operating_cash_flow:2025Q1
filed 2026-05-06</t>
      </text>
    </comment>
    <comment ref="N49" authorId="0" shapeId="0">
      <text>
        <t>q:UBER:operating_cash_flow:2025Q2
filed 2026-08-05</t>
      </text>
    </comment>
    <comment ref="O49" authorId="0" shapeId="0">
      <text>
        <t>q:UBER:operating_cash_flow:2025Q3
filed 2026-08-05</t>
      </text>
    </comment>
    <comment ref="P49" authorId="0" shapeId="0">
      <text>
        <t>q:UBER:operating_cash_flow:2025Q4
filed 2026-02-13</t>
      </text>
    </comment>
    <comment ref="R49" authorId="0" shapeId="0">
      <text>
        <t>q:UBER:operating_cash_flow:2026Q1
filed 2026-05-06</t>
      </text>
    </comment>
    <comment ref="S49" authorId="0" shapeId="0">
      <text>
        <t>q:UBER:operating_cash_flow:2026Q2
filed 2026-08-05</t>
      </text>
    </comment>
    <comment ref="C50" authorId="0" shapeId="0">
      <text>
        <t>q:UBER:capex:2023Q1
filed 2024-05-08</t>
      </text>
    </comment>
    <comment ref="D50" authorId="0" shapeId="0">
      <text>
        <t>q:UBER:capex:2023Q2
filed 2024-08-06</t>
      </text>
    </comment>
    <comment ref="E50" authorId="0" shapeId="0">
      <text>
        <t>q:UBER:capex:2023Q3
filed 2024-10-31</t>
      </text>
    </comment>
    <comment ref="F50" authorId="0" shapeId="0">
      <text>
        <t>q:UBER:capex:2023Q4
filed 2026-02-13</t>
      </text>
    </comment>
    <comment ref="H50" authorId="0" shapeId="0">
      <text>
        <t>q:UBER:capex:2024Q1
filed 2025-05-07</t>
      </text>
    </comment>
    <comment ref="I50" authorId="0" shapeId="0">
      <text>
        <t>q:UBER:capex:2024Q2
filed 2025-08-06</t>
      </text>
    </comment>
    <comment ref="J50" authorId="0" shapeId="0">
      <text>
        <t>q:UBER:capex:2024Q3
filed 2025-11-04</t>
      </text>
    </comment>
    <comment ref="K50" authorId="0" shapeId="0">
      <text>
        <t>q:UBER:capex:2024Q4
filed 2026-02-13</t>
      </text>
    </comment>
    <comment ref="M50" authorId="0" shapeId="0">
      <text>
        <t>q:UBER:capex:2025Q1
filed 2026-05-06</t>
      </text>
    </comment>
    <comment ref="N50" authorId="0" shapeId="0">
      <text>
        <t>q:UBER:capex:2025Q2
filed 2026-08-05</t>
      </text>
    </comment>
    <comment ref="O50" authorId="0" shapeId="0">
      <text>
        <t>q:UBER:capex:2025Q3
filed 2026-08-05</t>
      </text>
    </comment>
    <comment ref="P50" authorId="0" shapeId="0">
      <text>
        <t>q:UBER:capex:2025Q4
filed 2026-02-13</t>
      </text>
    </comment>
    <comment ref="R50" authorId="0" shapeId="0">
      <text>
        <t>q:UBER:capex:2026Q1
filed 2026-05-06</t>
      </text>
    </comment>
    <comment ref="S50" authorId="0" shapeId="0">
      <text>
        <t>q:UBER:capex:2026Q2
filed 2026-08-05</t>
      </text>
    </comment>
    <comment ref="E52" authorId="0" shapeId="0">
      <text>
        <t>q:UBER:buybacks:2023Q3
filed 2024-10-31</t>
      </text>
    </comment>
    <comment ref="F52" authorId="0" shapeId="0">
      <text>
        <t>q:UBER:buybacks:2023Q4
filed 2026-02-13</t>
      </text>
    </comment>
    <comment ref="H52" authorId="0" shapeId="0">
      <text>
        <t>q:UBER:buybacks:2024Q1
filed 2025-05-07</t>
      </text>
    </comment>
    <comment ref="I52" authorId="0" shapeId="0">
      <text>
        <t>q:UBER:buybacks:2024Q2
filed 2025-08-06</t>
      </text>
    </comment>
    <comment ref="J52" authorId="0" shapeId="0">
      <text>
        <t>q:UBER:buybacks:2024Q3
filed 2025-11-04</t>
      </text>
    </comment>
    <comment ref="K52" authorId="0" shapeId="0">
      <text>
        <t>q:UBER:buybacks:2024Q4
filed 2026-02-13</t>
      </text>
    </comment>
    <comment ref="M52" authorId="0" shapeId="0">
      <text>
        <t>q:UBER:buybacks:2025Q1
filed 2026-05-06</t>
      </text>
    </comment>
    <comment ref="N52" authorId="0" shapeId="0">
      <text>
        <t>q:UBER:buybacks:2025Q2
filed 2026-08-05</t>
      </text>
    </comment>
    <comment ref="O52" authorId="0" shapeId="0">
      <text>
        <t>q:UBER:buybacks:2025Q3
filed 2026-08-05</t>
      </text>
    </comment>
    <comment ref="P52" authorId="0" shapeId="0">
      <text>
        <t>q:UBER:buybacks:2025Q4
filed 2026-02-13</t>
      </text>
    </comment>
    <comment ref="R52" authorId="0" shapeId="0">
      <text>
        <t>q:UBER:buybacks:2026Q1
filed 2026-05-06</t>
      </text>
    </comment>
    <comment ref="S52" authorId="0" shapeId="0">
      <text>
        <t>q:UBER:buybacks:2026Q2
filed 2026-08-05</t>
      </text>
    </comment>
    <comment ref="C54" authorId="0" shapeId="0">
      <text>
        <t>q:UBER:cash:2023Q1
filed 2024-05-08</t>
      </text>
    </comment>
    <comment ref="D54" authorId="0" shapeId="0">
      <text>
        <t>q:UBER:cash:2023Q2
filed 2024-08-06</t>
      </text>
    </comment>
    <comment ref="E54" authorId="0" shapeId="0">
      <text>
        <t>q:UBER:cash:2023Q3
filed 2024-10-31</t>
      </text>
    </comment>
    <comment ref="F54" authorId="0" shapeId="0">
      <text>
        <t>q:UBER:cash:2023Q4
filed 2026-02-13</t>
      </text>
    </comment>
    <comment ref="H54" authorId="0" shapeId="0">
      <text>
        <t>q:UBER:cash:2024Q1
filed 2025-05-07</t>
      </text>
    </comment>
    <comment ref="I54" authorId="0" shapeId="0">
      <text>
        <t>q:UBER:cash:2024Q2
filed 2025-08-06</t>
      </text>
    </comment>
    <comment ref="J54" authorId="0" shapeId="0">
      <text>
        <t>q:UBER:cash:2024Q3
filed 2025-11-04</t>
      </text>
    </comment>
    <comment ref="K54" authorId="0" shapeId="0">
      <text>
        <t>q:UBER:cash:2024Q4
filed 2026-02-13</t>
      </text>
    </comment>
    <comment ref="M54" authorId="0" shapeId="0">
      <text>
        <t>q:UBER:cash:2025Q1
filed 2026-05-06</t>
      </text>
    </comment>
    <comment ref="N54" authorId="0" shapeId="0">
      <text>
        <t>q:UBER:cash:2025Q2
filed 2026-08-05</t>
      </text>
    </comment>
    <comment ref="O54" authorId="0" shapeId="0">
      <text>
        <t>q:UBER:cash:2025Q3
filed 2025-11-04</t>
      </text>
    </comment>
    <comment ref="P54" authorId="0" shapeId="0">
      <text>
        <t>q:UBER:cash:2025Q4
filed 2026-08-05</t>
      </text>
    </comment>
    <comment ref="R54" authorId="0" shapeId="0">
      <text>
        <t>q:UBER:cash:2026Q1
filed 2026-05-06</t>
      </text>
    </comment>
    <comment ref="S54" authorId="0" shapeId="0">
      <text>
        <t>q:UBER:cash:2026Q2
filed 2026-08-05</t>
      </text>
    </comment>
    <comment ref="C56" authorId="0" shapeId="0">
      <text>
        <t>q:UBER:total_assets:2023Q1
filed 2023-05-03</t>
      </text>
    </comment>
    <comment ref="D56" authorId="0" shapeId="0">
      <text>
        <t>q:UBER:total_assets:2023Q2
filed 2023-08-02</t>
      </text>
    </comment>
    <comment ref="E56" authorId="0" shapeId="0">
      <text>
        <t>q:UBER:total_assets:2023Q3
filed 2023-11-07</t>
      </text>
    </comment>
    <comment ref="F56" authorId="0" shapeId="0">
      <text>
        <t>q:UBER:total_assets:2023Q4
filed 2025-02-14</t>
      </text>
    </comment>
    <comment ref="H56" authorId="0" shapeId="0">
      <text>
        <t>q:UBER:total_assets:2024Q1
filed 2024-05-08</t>
      </text>
    </comment>
    <comment ref="I56" authorId="0" shapeId="0">
      <text>
        <t>q:UBER:total_assets:2024Q2
filed 2024-08-06</t>
      </text>
    </comment>
    <comment ref="J56" authorId="0" shapeId="0">
      <text>
        <t>q:UBER:total_assets:2024Q3
filed 2024-10-31</t>
      </text>
    </comment>
    <comment ref="K56" authorId="0" shapeId="0">
      <text>
        <t>q:UBER:total_assets:2024Q4
filed 2026-02-13</t>
      </text>
    </comment>
    <comment ref="M56" authorId="0" shapeId="0">
      <text>
        <t>q:UBER:total_assets:2025Q1
filed 2025-05-07</t>
      </text>
    </comment>
    <comment ref="N56" authorId="0" shapeId="0">
      <text>
        <t>q:UBER:total_assets:2025Q2
filed 2025-08-06</t>
      </text>
    </comment>
    <comment ref="O56" authorId="0" shapeId="0">
      <text>
        <t>q:UBER:total_assets:2025Q3
filed 2025-11-04</t>
      </text>
    </comment>
    <comment ref="P56" authorId="0" shapeId="0">
      <text>
        <t>q:UBER:total_assets:2025Q4
filed 2026-08-05</t>
      </text>
    </comment>
    <comment ref="R56" authorId="0" shapeId="0">
      <text>
        <t>q:UBER:total_assets:2026Q1
filed 2026-05-06</t>
      </text>
    </comment>
    <comment ref="S56" authorId="0" shapeId="0">
      <text>
        <t>q:UBER:total_assets:2026Q2
filed 2026-08-05</t>
      </text>
    </comment>
    <comment ref="C57" authorId="0" shapeId="0">
      <text>
        <t>q:UBER:total_liabilities:2023Q1
filed 2023-05-03</t>
      </text>
    </comment>
    <comment ref="D57" authorId="0" shapeId="0">
      <text>
        <t>q:UBER:total_liabilities:2023Q2
filed 2023-08-02</t>
      </text>
    </comment>
    <comment ref="E57" authorId="0" shapeId="0">
      <text>
        <t>q:UBER:total_liabilities:2023Q3
filed 2023-11-07</t>
      </text>
    </comment>
    <comment ref="F57" authorId="0" shapeId="0">
      <text>
        <t>q:UBER:total_liabilities:2023Q4
filed 2025-02-14</t>
      </text>
    </comment>
    <comment ref="H57" authorId="0" shapeId="0">
      <text>
        <t>q:UBER:total_liabilities:2024Q1
filed 2024-05-08</t>
      </text>
    </comment>
    <comment ref="I57" authorId="0" shapeId="0">
      <text>
        <t>q:UBER:total_liabilities:2024Q2
filed 2024-08-06</t>
      </text>
    </comment>
    <comment ref="J57" authorId="0" shapeId="0">
      <text>
        <t>q:UBER:total_liabilities:2024Q3
filed 2024-10-31</t>
      </text>
    </comment>
    <comment ref="K57" authorId="0" shapeId="0">
      <text>
        <t>q:UBER:total_liabilities:2024Q4
filed 2026-02-13</t>
      </text>
    </comment>
    <comment ref="M57" authorId="0" shapeId="0">
      <text>
        <t>q:UBER:total_liabilities:2025Q1
filed 2025-05-07</t>
      </text>
    </comment>
    <comment ref="N57" authorId="0" shapeId="0">
      <text>
        <t>q:UBER:total_liabilities:2025Q2
filed 2025-08-06</t>
      </text>
    </comment>
    <comment ref="O57" authorId="0" shapeId="0">
      <text>
        <t>q:UBER:total_liabilities:2025Q3
filed 2025-11-04</t>
      </text>
    </comment>
    <comment ref="P57" authorId="0" shapeId="0">
      <text>
        <t>q:UBER:total_liabilities:2025Q4
filed 2026-08-05</t>
      </text>
    </comment>
    <comment ref="R57" authorId="0" shapeId="0">
      <text>
        <t>q:UBER:total_liabilities:2026Q1
filed 2026-05-06</t>
      </text>
    </comment>
    <comment ref="S57" authorId="0" shapeId="0">
      <text>
        <t>q:UBER:total_liabilities:2026Q2
filed 2026-08-05</t>
      </text>
    </comment>
    <comment ref="C58" authorId="0" shapeId="0">
      <text>
        <t>q:UBER:mezzanine:2023Q1
filed 2023-05-03</t>
      </text>
    </comment>
    <comment ref="D58" authorId="0" shapeId="0">
      <text>
        <t>q:UBER:mezzanine:2023Q2
filed 2023-08-02</t>
      </text>
    </comment>
    <comment ref="E58" authorId="0" shapeId="0">
      <text>
        <t>q:UBER:mezzanine:2023Q3
filed 2023-11-07</t>
      </text>
    </comment>
    <comment ref="F58" authorId="0" shapeId="0">
      <text>
        <t>q:UBER:mezzanine:2023Q4
filed 2025-02-14</t>
      </text>
    </comment>
    <comment ref="H58" authorId="0" shapeId="0">
      <text>
        <t>q:UBER:mezzanine:2024Q1
filed 2024-05-08</t>
      </text>
    </comment>
    <comment ref="I58" authorId="0" shapeId="0">
      <text>
        <t>q:UBER:mezzanine:2024Q2
filed 2024-08-06</t>
      </text>
    </comment>
    <comment ref="J58" authorId="0" shapeId="0">
      <text>
        <t>q:UBER:mezzanine:2024Q3
filed 2024-10-31</t>
      </text>
    </comment>
    <comment ref="K58" authorId="0" shapeId="0">
      <text>
        <t>q:UBER:mezzanine:2024Q4
filed 2026-02-13</t>
      </text>
    </comment>
    <comment ref="M58" authorId="0" shapeId="0">
      <text>
        <t>q:UBER:mezzanine:2025Q1
filed 2025-05-07</t>
      </text>
    </comment>
    <comment ref="N58" authorId="0" shapeId="0">
      <text>
        <t>q:UBER:mezzanine:2025Q2
filed 2025-08-06</t>
      </text>
    </comment>
    <comment ref="O58" authorId="0" shapeId="0">
      <text>
        <t>q:UBER:mezzanine:2025Q3
filed 2025-11-04</t>
      </text>
    </comment>
    <comment ref="P58" authorId="0" shapeId="0">
      <text>
        <t>q:UBER:mezzanine:2025Q4
filed 2026-08-05</t>
      </text>
    </comment>
    <comment ref="R58" authorId="0" shapeId="0">
      <text>
        <t>q:UBER:mezzanine:2026Q1
filed 2026-05-06</t>
      </text>
    </comment>
    <comment ref="S58" authorId="0" shapeId="0">
      <text>
        <t>q:UBER:mezzanine:2026Q2
filed 2026-08-05</t>
      </text>
    </comment>
    <comment ref="C59" authorId="0" shapeId="0">
      <text>
        <t>q:UBER:equity_total:2023Q1
filed 2024-10-31</t>
      </text>
    </comment>
    <comment ref="D59" authorId="0" shapeId="0">
      <text>
        <t>q:UBER:equity_total:2023Q2
filed 2024-10-31</t>
      </text>
    </comment>
    <comment ref="E59" authorId="0" shapeId="0">
      <text>
        <t>q:UBER:equity_total:2023Q3
filed 2024-10-31</t>
      </text>
    </comment>
    <comment ref="F59" authorId="0" shapeId="0">
      <text>
        <t>q:UBER:equity_total:2023Q4
filed 2026-02-13</t>
      </text>
    </comment>
    <comment ref="H59" authorId="0" shapeId="0">
      <text>
        <t>q:UBER:equity_total:2024Q1
filed 2025-11-04</t>
      </text>
    </comment>
    <comment ref="I59" authorId="0" shapeId="0">
      <text>
        <t>q:UBER:equity_total:2024Q2
filed 2025-11-04</t>
      </text>
    </comment>
    <comment ref="J59" authorId="0" shapeId="0">
      <text>
        <t>q:UBER:equity_total:2024Q3
filed 2025-11-04</t>
      </text>
    </comment>
    <comment ref="K59" authorId="0" shapeId="0">
      <text>
        <t>q:UBER:equity_total:2024Q4
filed 2026-08-05</t>
      </text>
    </comment>
    <comment ref="M59" authorId="0" shapeId="0">
      <text>
        <t>q:UBER:equity_total:2025Q1
filed 2026-08-05</t>
      </text>
    </comment>
    <comment ref="N59" authorId="0" shapeId="0">
      <text>
        <t>q:UBER:equity_total:2025Q2
filed 2026-08-05</t>
      </text>
    </comment>
    <comment ref="O59" authorId="0" shapeId="0">
      <text>
        <t>q:UBER:equity_total:2025Q3
filed 2025-11-04</t>
      </text>
    </comment>
    <comment ref="P59" authorId="0" shapeId="0">
      <text>
        <t>q:UBER:equity_total:2025Q4
filed 2026-08-05</t>
      </text>
    </comment>
    <comment ref="R59" authorId="0" shapeId="0">
      <text>
        <t>q:UBER:equity_total:2026Q1
filed 2026-08-05</t>
      </text>
    </comment>
    <comment ref="S59" authorId="0" shapeId="0">
      <text>
        <t>q:UBER:equity_total:2026Q2
filed 2026-08-05</t>
      </text>
    </comment>
    <comment ref="C61" authorId="0" shapeId="0">
      <text>
        <t>q:UBER:liabilities_and_equity:2023Q1
filed 2023-05-03</t>
      </text>
    </comment>
    <comment ref="D61" authorId="0" shapeId="0">
      <text>
        <t>q:UBER:liabilities_and_equity:2023Q2
filed 2023-08-02</t>
      </text>
    </comment>
    <comment ref="E61" authorId="0" shapeId="0">
      <text>
        <t>q:UBER:liabilities_and_equity:2023Q3
filed 2023-11-07</t>
      </text>
    </comment>
    <comment ref="F61" authorId="0" shapeId="0">
      <text>
        <t>q:UBER:liabilities_and_equity:2023Q4
filed 2025-02-14</t>
      </text>
    </comment>
    <comment ref="H61" authorId="0" shapeId="0">
      <text>
        <t>q:UBER:liabilities_and_equity:2024Q1
filed 2024-05-08</t>
      </text>
    </comment>
    <comment ref="I61" authorId="0" shapeId="0">
      <text>
        <t>q:UBER:liabilities_and_equity:2024Q2
filed 2024-08-06</t>
      </text>
    </comment>
    <comment ref="J61" authorId="0" shapeId="0">
      <text>
        <t>q:UBER:liabilities_and_equity:2024Q3
filed 2024-10-31</t>
      </text>
    </comment>
    <comment ref="K61" authorId="0" shapeId="0">
      <text>
        <t>q:UBER:liabilities_and_equity:2024Q4
filed 2026-02-13</t>
      </text>
    </comment>
    <comment ref="M61" authorId="0" shapeId="0">
      <text>
        <t>q:UBER:liabilities_and_equity:2025Q1
filed 2025-05-07</t>
      </text>
    </comment>
    <comment ref="N61" authorId="0" shapeId="0">
      <text>
        <t>q:UBER:liabilities_and_equity:2025Q2
filed 2025-08-06</t>
      </text>
    </comment>
    <comment ref="O61" authorId="0" shapeId="0">
      <text>
        <t>q:UBER:liabilities_and_equity:2025Q3
filed 2025-11-04</t>
      </text>
    </comment>
    <comment ref="P61" authorId="0" shapeId="0">
      <text>
        <t>q:UBER:liabilities_and_equity:2025Q4
filed 2026-08-05</t>
      </text>
    </comment>
    <comment ref="R61" authorId="0" shapeId="0">
      <text>
        <t>q:UBER:liabilities_and_equity:2026Q1
filed 2026-05-06</t>
      </text>
    </comment>
    <comment ref="S61" authorId="0" shapeId="0">
      <text>
        <t>q:UBER:liabilities_and_equity:2026Q2
filed 2026-08-05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62"/>
  <sheetViews>
    <sheetView workbookViewId="0">
      <selection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UBER model (history) as of 2026-08-06</t>
        </is>
      </c>
    </row>
    <row r="2">
      <c r="A2" s="1" t="inlineStr">
        <is>
          <t>line</t>
        </is>
      </c>
      <c r="B2" s="1" t="inlineStr">
        <is>
          <t>unit</t>
        </is>
      </c>
      <c r="C2" s="1" t="inlineStr">
        <is>
          <t>2023Q1</t>
        </is>
      </c>
      <c r="D2" s="1" t="inlineStr">
        <is>
          <t>2023Q2</t>
        </is>
      </c>
      <c r="E2" s="1" t="inlineStr">
        <is>
          <t>2023Q3</t>
        </is>
      </c>
      <c r="F2" s="1" t="inlineStr">
        <is>
          <t>2023Q4</t>
        </is>
      </c>
      <c r="G2" s="1" t="inlineStr">
        <is>
          <t>FY2023</t>
        </is>
      </c>
      <c r="H2" s="1" t="inlineStr">
        <is>
          <t>2024Q1</t>
        </is>
      </c>
      <c r="I2" s="1" t="inlineStr">
        <is>
          <t>2024Q2</t>
        </is>
      </c>
      <c r="J2" s="1" t="inlineStr">
        <is>
          <t>2024Q3</t>
        </is>
      </c>
      <c r="K2" s="1" t="inlineStr">
        <is>
          <t>2024Q4</t>
        </is>
      </c>
      <c r="L2" s="1" t="inlineStr">
        <is>
          <t>FY2024</t>
        </is>
      </c>
      <c r="M2" s="1" t="inlineStr">
        <is>
          <t>2025Q1</t>
        </is>
      </c>
      <c r="N2" s="1" t="inlineStr">
        <is>
          <t>2025Q2</t>
        </is>
      </c>
      <c r="O2" s="1" t="inlineStr">
        <is>
          <t>2025Q3</t>
        </is>
      </c>
      <c r="P2" s="1" t="inlineStr">
        <is>
          <t>2025Q4</t>
        </is>
      </c>
      <c r="Q2" s="1" t="inlineStr">
        <is>
          <t>FY2025</t>
        </is>
      </c>
      <c r="R2" s="1" t="inlineStr">
        <is>
          <t>2026Q1</t>
        </is>
      </c>
      <c r="S2" s="1" t="inlineStr">
        <is>
          <t>2026Q2</t>
        </is>
      </c>
      <c r="T2" s="1" t="inlineStr">
        <is>
          <t>2026Q3</t>
        </is>
      </c>
      <c r="U2" s="1" t="inlineStr">
        <is>
          <t>2026Q4</t>
        </is>
      </c>
      <c r="V2" s="1" t="inlineStr">
        <is>
          <t>FY2026</t>
        </is>
      </c>
      <c r="W2" s="1" t="inlineStr">
        <is>
          <t>2027Q1</t>
        </is>
      </c>
      <c r="X2" s="1" t="inlineStr">
        <is>
          <t>2027Q2</t>
        </is>
      </c>
      <c r="Y2" s="1" t="inlineStr">
        <is>
          <t>2027Q3</t>
        </is>
      </c>
      <c r="Z2" s="1" t="inlineStr">
        <is>
          <t>2027Q4</t>
        </is>
      </c>
      <c r="AA2" s="1" t="inlineStr">
        <is>
          <t>FY2027</t>
        </is>
      </c>
    </row>
    <row r="3">
      <c r="A3" s="2" t="inlineStr">
        <is>
          <t>Operating build</t>
        </is>
      </c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  <c r="AA3" s="3" t="n"/>
    </row>
    <row r="4">
      <c r="A4" t="inlineStr">
        <is>
          <t>trips</t>
        </is>
      </c>
      <c r="B4" t="inlineStr">
        <is>
          <t>count millions</t>
        </is>
      </c>
      <c r="C4" s="4" t="n">
        <v>2124</v>
      </c>
      <c r="D4" s="4" t="n">
        <v>2282</v>
      </c>
      <c r="E4" s="4" t="n">
        <v>2441</v>
      </c>
      <c r="F4" s="4" t="n">
        <v>2601</v>
      </c>
      <c r="G4" s="5">
        <f>SUM(C4:F4)</f>
        <v/>
      </c>
      <c r="H4" s="4" t="n">
        <v>2572</v>
      </c>
      <c r="I4" s="4" t="n">
        <v>2765</v>
      </c>
      <c r="J4" s="4" t="n">
        <v>2868</v>
      </c>
      <c r="K4" s="4" t="n">
        <v>3068</v>
      </c>
      <c r="L4" s="5">
        <f>SUM(H4:K4)</f>
        <v/>
      </c>
      <c r="M4" s="4" t="n">
        <v>3036</v>
      </c>
      <c r="N4" s="4" t="n">
        <v>3268</v>
      </c>
      <c r="O4" s="4" t="n">
        <v>3512</v>
      </c>
      <c r="P4" s="4" t="n">
        <v>3751</v>
      </c>
      <c r="Q4" s="5">
        <f>SUM(M4:P4)</f>
        <v/>
      </c>
      <c r="R4" s="4" t="n">
        <v>3643</v>
      </c>
      <c r="S4" s="4" t="n">
        <v>3867</v>
      </c>
      <c r="T4" s="6">
        <f>IFERROR(IF(COUNT(O4)=1,O4,J4*(1+T30)),J4*(1+T30))*(1+T30)</f>
        <v/>
      </c>
      <c r="U4" s="6">
        <f>IFERROR(IF(COUNT(P4)=1,P4,K4*(1+U30)),K4*(1+U30))*(1+U30)</f>
        <v/>
      </c>
      <c r="V4" s="5">
        <f>SUM(R4:U4)</f>
        <v/>
      </c>
      <c r="W4" s="6">
        <f>IFERROR(IF(COUNT(R4)=1,R4,M4*(1+W30)),M4*(1+W30))*(1+W30)</f>
        <v/>
      </c>
      <c r="X4" s="6">
        <f>IFERROR(IF(COUNT(S4)=1,S4,N4*(1+X30)),N4*(1+X30))*(1+X30)</f>
        <v/>
      </c>
      <c r="Y4" s="6">
        <f>IFERROR(IF(COUNT(T4)=1,T4,O4*(1+Y30)),O4*(1+Y30))*(1+Y30)</f>
        <v/>
      </c>
      <c r="Z4" s="6">
        <f>IFERROR(IF(COUNT(U4)=1,U4,P4*(1+Z30)),P4*(1+Z30))*(1+Z30)</f>
        <v/>
      </c>
      <c r="AA4" s="5">
        <f>SUM(W4:Z4)</f>
        <v/>
      </c>
    </row>
    <row r="5">
      <c r="A5" t="inlineStr">
        <is>
          <t>monthly active platform consumers</t>
        </is>
      </c>
      <c r="B5" t="inlineStr">
        <is>
          <t>count millions</t>
        </is>
      </c>
      <c r="C5" s="4" t="n">
        <v>130</v>
      </c>
      <c r="D5" s="4" t="n">
        <v>137</v>
      </c>
      <c r="E5" s="4" t="n">
        <v>142</v>
      </c>
      <c r="F5" s="4" t="n">
        <v>150</v>
      </c>
      <c r="G5" s="7" t="n"/>
      <c r="H5" s="4" t="n">
        <v>149</v>
      </c>
      <c r="I5" s="4" t="n">
        <v>156</v>
      </c>
      <c r="J5" s="4" t="n">
        <v>161</v>
      </c>
      <c r="K5" s="4" t="n">
        <v>171</v>
      </c>
      <c r="L5" s="7" t="n"/>
      <c r="M5" s="4" t="n">
        <v>170</v>
      </c>
      <c r="N5" s="4" t="n">
        <v>180</v>
      </c>
      <c r="O5" s="4" t="n">
        <v>189</v>
      </c>
      <c r="P5" s="4" t="n">
        <v>202</v>
      </c>
      <c r="Q5" s="7" t="n"/>
      <c r="R5" s="4" t="n">
        <v>199</v>
      </c>
      <c r="S5" s="4" t="n">
        <v>208</v>
      </c>
      <c r="T5" s="7" t="n"/>
      <c r="U5" s="7" t="n"/>
      <c r="V5" s="7" t="n"/>
      <c r="W5" s="7" t="n"/>
      <c r="X5" s="7" t="n"/>
      <c r="Y5" s="7" t="n"/>
      <c r="Z5" s="7" t="n"/>
      <c r="AA5" s="7" t="n"/>
    </row>
    <row r="6">
      <c r="A6" t="inlineStr">
        <is>
          <t>gross bookings mobility</t>
        </is>
      </c>
      <c r="B6" t="inlineStr">
        <is>
          <t>USD millions</t>
        </is>
      </c>
      <c r="C6" s="4" t="n">
        <v>14981</v>
      </c>
      <c r="D6" s="4" t="n">
        <v>16728</v>
      </c>
      <c r="E6" s="4" t="n">
        <v>17903</v>
      </c>
      <c r="F6" s="4" t="n">
        <v>19285</v>
      </c>
      <c r="G6" s="5">
        <f>SUM(C6:F6)</f>
        <v/>
      </c>
      <c r="H6" s="4" t="n">
        <v>18670</v>
      </c>
      <c r="I6" s="4" t="n">
        <v>20554</v>
      </c>
      <c r="J6" s="4" t="n">
        <v>21002</v>
      </c>
      <c r="K6" s="4" t="n">
        <v>22798</v>
      </c>
      <c r="L6" s="5">
        <f>SUM(H6:K6)</f>
        <v/>
      </c>
      <c r="M6" s="4" t="n">
        <v>21182</v>
      </c>
      <c r="N6" s="4" t="n">
        <v>23762</v>
      </c>
      <c r="O6" s="4" t="n">
        <v>25111</v>
      </c>
      <c r="P6" s="4" t="n">
        <v>27442</v>
      </c>
      <c r="Q6" s="5">
        <f>SUM(M6:P6)</f>
        <v/>
      </c>
      <c r="R6" s="4" t="n">
        <v>26394</v>
      </c>
      <c r="S6" s="4" t="n">
        <v>28988</v>
      </c>
      <c r="T6" s="6">
        <f>O6*(1+T25)</f>
        <v/>
      </c>
      <c r="U6" s="6">
        <f>P6*(1+U25)</f>
        <v/>
      </c>
      <c r="V6" s="5">
        <f>SUM(R6:U6)</f>
        <v/>
      </c>
      <c r="W6" s="6">
        <f>R6*(1+W25)</f>
        <v/>
      </c>
      <c r="X6" s="6">
        <f>S6*(1+X25)</f>
        <v/>
      </c>
      <c r="Y6" s="6">
        <f>T6*(1+Y25)</f>
        <v/>
      </c>
      <c r="Z6" s="6">
        <f>U6*(1+Z25)</f>
        <v/>
      </c>
      <c r="AA6" s="5">
        <f>SUM(W6:Z6)</f>
        <v/>
      </c>
    </row>
    <row r="7">
      <c r="A7" t="inlineStr">
        <is>
          <t>gross bookings delivery</t>
        </is>
      </c>
      <c r="B7" t="inlineStr">
        <is>
          <t>USD millions</t>
        </is>
      </c>
      <c r="C7" s="4" t="n">
        <v>15026</v>
      </c>
      <c r="D7" s="4" t="n">
        <v>15595</v>
      </c>
      <c r="E7" s="4" t="n">
        <v>16094</v>
      </c>
      <c r="F7" s="4" t="n">
        <v>17011</v>
      </c>
      <c r="G7" s="5">
        <f>SUM(C7:F7)</f>
        <v/>
      </c>
      <c r="H7" s="4" t="n">
        <v>17699</v>
      </c>
      <c r="I7" s="4" t="n">
        <v>18126</v>
      </c>
      <c r="J7" s="4" t="n">
        <v>18663</v>
      </c>
      <c r="K7" s="4" t="n">
        <v>20126</v>
      </c>
      <c r="L7" s="5">
        <f>SUM(H7:K7)</f>
        <v/>
      </c>
      <c r="M7" s="4" t="n">
        <v>20377</v>
      </c>
      <c r="N7" s="4" t="n">
        <v>21734</v>
      </c>
      <c r="O7" s="4" t="n">
        <v>23322</v>
      </c>
      <c r="P7" s="4" t="n">
        <v>25431</v>
      </c>
      <c r="Q7" s="5">
        <f>SUM(M7:P7)</f>
        <v/>
      </c>
      <c r="R7" s="4" t="n">
        <v>25992</v>
      </c>
      <c r="S7" s="4" t="n">
        <v>27463</v>
      </c>
      <c r="T7" s="6">
        <f>O7*(1+T26)</f>
        <v/>
      </c>
      <c r="U7" s="6">
        <f>P7*(1+U26)</f>
        <v/>
      </c>
      <c r="V7" s="5">
        <f>SUM(R7:U7)</f>
        <v/>
      </c>
      <c r="W7" s="6">
        <f>R7*(1+W26)</f>
        <v/>
      </c>
      <c r="X7" s="6">
        <f>S7*(1+X26)</f>
        <v/>
      </c>
      <c r="Y7" s="6">
        <f>T7*(1+Y26)</f>
        <v/>
      </c>
      <c r="Z7" s="6">
        <f>U7*(1+Z26)</f>
        <v/>
      </c>
      <c r="AA7" s="5">
        <f>SUM(W7:Z7)</f>
        <v/>
      </c>
    </row>
    <row r="8">
      <c r="A8" t="inlineStr">
        <is>
          <t>gross bookings freight</t>
        </is>
      </c>
      <c r="B8" t="inlineStr">
        <is>
          <t>USD millions</t>
        </is>
      </c>
      <c r="C8" s="4" t="n">
        <v>1401</v>
      </c>
      <c r="D8" s="4" t="n">
        <v>1278</v>
      </c>
      <c r="E8" s="4" t="n">
        <v>1284</v>
      </c>
      <c r="F8" s="4" t="n">
        <v>1279</v>
      </c>
      <c r="G8" s="5">
        <f>SUM(C8:F8)</f>
        <v/>
      </c>
      <c r="H8" s="4" t="n">
        <v>1282</v>
      </c>
      <c r="I8" s="4" t="n">
        <v>1272</v>
      </c>
      <c r="J8" s="4" t="n">
        <v>1308</v>
      </c>
      <c r="K8" s="4" t="n">
        <v>1273</v>
      </c>
      <c r="L8" s="5">
        <f>SUM(H8:K8)</f>
        <v/>
      </c>
      <c r="M8" s="4" t="n">
        <v>1259</v>
      </c>
      <c r="N8" s="4" t="n">
        <v>1260</v>
      </c>
      <c r="O8" s="4" t="n">
        <v>1307</v>
      </c>
      <c r="P8" s="4" t="n">
        <v>1267</v>
      </c>
      <c r="Q8" s="5">
        <f>SUM(M8:P8)</f>
        <v/>
      </c>
      <c r="R8" s="4" t="n">
        <v>1334</v>
      </c>
      <c r="S8" s="4" t="n">
        <v>1571</v>
      </c>
      <c r="T8" s="6">
        <f>O8*(1+T27)</f>
        <v/>
      </c>
      <c r="U8" s="6">
        <f>P8*(1+U27)</f>
        <v/>
      </c>
      <c r="V8" s="5">
        <f>SUM(R8:U8)</f>
        <v/>
      </c>
      <c r="W8" s="6">
        <f>R8*(1+W27)</f>
        <v/>
      </c>
      <c r="X8" s="6">
        <f>S8*(1+X27)</f>
        <v/>
      </c>
      <c r="Y8" s="6">
        <f>T8*(1+Y27)</f>
        <v/>
      </c>
      <c r="Z8" s="6">
        <f>U8*(1+Z27)</f>
        <v/>
      </c>
      <c r="AA8" s="5">
        <f>SUM(W8:Z8)</f>
        <v/>
      </c>
    </row>
    <row r="9">
      <c r="A9" t="inlineStr">
        <is>
          <t>gross bookings</t>
        </is>
      </c>
      <c r="B9" t="inlineStr">
        <is>
          <t>USD millions</t>
        </is>
      </c>
      <c r="C9" s="4" t="n">
        <v>31408</v>
      </c>
      <c r="D9" s="4" t="n">
        <v>33601</v>
      </c>
      <c r="E9" s="4" t="n">
        <v>35281</v>
      </c>
      <c r="F9" s="4" t="n">
        <v>37575</v>
      </c>
      <c r="G9" s="5">
        <f>SUM(C9:F9)</f>
        <v/>
      </c>
      <c r="H9" s="4" t="n">
        <v>37651</v>
      </c>
      <c r="I9" s="4" t="n">
        <v>39952</v>
      </c>
      <c r="J9" s="4" t="n">
        <v>40973</v>
      </c>
      <c r="K9" s="4" t="n">
        <v>44197</v>
      </c>
      <c r="L9" s="5">
        <f>SUM(H9:K9)</f>
        <v/>
      </c>
      <c r="M9" s="4" t="n">
        <v>42818</v>
      </c>
      <c r="N9" s="4" t="n">
        <v>46756</v>
      </c>
      <c r="O9" s="4" t="n">
        <v>49740</v>
      </c>
      <c r="P9" s="4" t="n">
        <v>54140</v>
      </c>
      <c r="Q9" s="5">
        <f>SUM(M9:P9)</f>
        <v/>
      </c>
      <c r="R9" s="4" t="n">
        <v>53720</v>
      </c>
      <c r="S9" s="4" t="n">
        <v>58022</v>
      </c>
      <c r="T9" s="6">
        <f>(T6+T7)+T8</f>
        <v/>
      </c>
      <c r="U9" s="6">
        <f>(U6+U7)+U8</f>
        <v/>
      </c>
      <c r="V9" s="5">
        <f>SUM(R9:U9)</f>
        <v/>
      </c>
      <c r="W9" s="6">
        <f>(W6+W7)+W8</f>
        <v/>
      </c>
      <c r="X9" s="6">
        <f>(X6+X7)+X8</f>
        <v/>
      </c>
      <c r="Y9" s="6">
        <f>(Y6+Y7)+Y8</f>
        <v/>
      </c>
      <c r="Z9" s="6">
        <f>(Z6+Z7)+Z8</f>
        <v/>
      </c>
      <c r="AA9" s="5">
        <f>SUM(W9:Z9)</f>
        <v/>
      </c>
    </row>
    <row r="10">
      <c r="A10" t="inlineStr">
        <is>
          <t>gross bookings per trip (Mobility and Delivery)</t>
        </is>
      </c>
      <c r="B10" t="inlineStr">
        <is>
          <t>USD</t>
        </is>
      </c>
      <c r="C10" s="8">
        <f>(C6+C7)/C4</f>
        <v/>
      </c>
      <c r="D10" s="8">
        <f>(D6+D7)/D4</f>
        <v/>
      </c>
      <c r="E10" s="8">
        <f>(E6+E7)/E4</f>
        <v/>
      </c>
      <c r="F10" s="8">
        <f>(F6+F7)/F4</f>
        <v/>
      </c>
      <c r="G10" s="8">
        <f>(G6+G7)/G4</f>
        <v/>
      </c>
      <c r="H10" s="8">
        <f>(H6+H7)/H4</f>
        <v/>
      </c>
      <c r="I10" s="8">
        <f>(I6+I7)/I4</f>
        <v/>
      </c>
      <c r="J10" s="8">
        <f>(J6+J7)/J4</f>
        <v/>
      </c>
      <c r="K10" s="8">
        <f>(K6+K7)/K4</f>
        <v/>
      </c>
      <c r="L10" s="8">
        <f>(L6+L7)/L4</f>
        <v/>
      </c>
      <c r="M10" s="8">
        <f>(M6+M7)/M4</f>
        <v/>
      </c>
      <c r="N10" s="8">
        <f>(N6+N7)/N4</f>
        <v/>
      </c>
      <c r="O10" s="8">
        <f>(O6+O7)/O4</f>
        <v/>
      </c>
      <c r="P10" s="8">
        <f>(P6+P7)/P4</f>
        <v/>
      </c>
      <c r="Q10" s="8">
        <f>(Q6+Q7)/Q4</f>
        <v/>
      </c>
      <c r="R10" s="8">
        <f>(R6+R7)/R4</f>
        <v/>
      </c>
      <c r="S10" s="8">
        <f>(S6+S7)/S4</f>
        <v/>
      </c>
      <c r="T10" s="9">
        <f>(T6+T7)/T4</f>
        <v/>
      </c>
      <c r="U10" s="9">
        <f>(U6+U7)/U4</f>
        <v/>
      </c>
      <c r="V10" s="8">
        <f>(V6+V7)/V4</f>
        <v/>
      </c>
      <c r="W10" s="9">
        <f>(W6+W7)/W4</f>
        <v/>
      </c>
      <c r="X10" s="9">
        <f>(X6+X7)/X4</f>
        <v/>
      </c>
      <c r="Y10" s="9">
        <f>(Y6+Y7)/Y4</f>
        <v/>
      </c>
      <c r="Z10" s="9">
        <f>(Z6+Z7)/Z4</f>
        <v/>
      </c>
      <c r="AA10" s="8">
        <f>(AA6+AA7)/AA4</f>
        <v/>
      </c>
    </row>
    <row r="11">
      <c r="A11" t="inlineStr">
        <is>
          <t>revenue mobility</t>
        </is>
      </c>
      <c r="B11" t="inlineStr">
        <is>
          <t>USD millions</t>
        </is>
      </c>
      <c r="C11" s="4" t="n">
        <v>4330</v>
      </c>
      <c r="D11" s="4" t="n">
        <v>4894</v>
      </c>
      <c r="E11" s="4" t="n">
        <v>5071</v>
      </c>
      <c r="F11" s="4" t="n">
        <v>5537</v>
      </c>
      <c r="G11" s="5">
        <f>SUM(C11:F11)</f>
        <v/>
      </c>
      <c r="H11" s="4" t="n">
        <v>5633</v>
      </c>
      <c r="I11" s="4" t="n">
        <v>6134</v>
      </c>
      <c r="J11" s="4" t="n">
        <v>6409</v>
      </c>
      <c r="K11" s="4" t="n">
        <v>6911</v>
      </c>
      <c r="L11" s="5">
        <f>SUM(H11:K11)</f>
        <v/>
      </c>
      <c r="M11" s="4" t="n">
        <v>6496</v>
      </c>
      <c r="N11" s="4" t="n">
        <v>7288</v>
      </c>
      <c r="O11" s="4" t="n">
        <v>7682</v>
      </c>
      <c r="P11" s="4" t="n">
        <v>8204</v>
      </c>
      <c r="Q11" s="5">
        <f>SUM(M11:P11)</f>
        <v/>
      </c>
      <c r="R11" s="4" t="n">
        <v>6798</v>
      </c>
      <c r="S11" s="4" t="n">
        <v>7363</v>
      </c>
      <c r="T11" s="6">
        <f>T6*T14</f>
        <v/>
      </c>
      <c r="U11" s="6">
        <f>U6*U14</f>
        <v/>
      </c>
      <c r="V11" s="5">
        <f>SUM(R11:U11)</f>
        <v/>
      </c>
      <c r="W11" s="6">
        <f>W6*W14</f>
        <v/>
      </c>
      <c r="X11" s="6">
        <f>X6*X14</f>
        <v/>
      </c>
      <c r="Y11" s="6">
        <f>Y6*Y14</f>
        <v/>
      </c>
      <c r="Z11" s="6">
        <f>Z6*Z14</f>
        <v/>
      </c>
      <c r="AA11" s="5">
        <f>SUM(W11:Z11)</f>
        <v/>
      </c>
    </row>
    <row r="12">
      <c r="A12" t="inlineStr">
        <is>
          <t>revenue delivery</t>
        </is>
      </c>
      <c r="B12" t="inlineStr">
        <is>
          <t>USD millions</t>
        </is>
      </c>
      <c r="C12" s="4" t="n">
        <v>3093</v>
      </c>
      <c r="D12" s="4" t="n">
        <v>3057</v>
      </c>
      <c r="E12" s="4" t="n">
        <v>2935</v>
      </c>
      <c r="F12" s="4" t="n">
        <v>3119</v>
      </c>
      <c r="G12" s="5">
        <f>SUM(C12:F12)</f>
        <v/>
      </c>
      <c r="H12" s="4" t="n">
        <v>3214</v>
      </c>
      <c r="I12" s="4" t="n">
        <v>3293</v>
      </c>
      <c r="J12" s="4" t="n">
        <v>3470</v>
      </c>
      <c r="K12" s="4" t="n">
        <v>3773</v>
      </c>
      <c r="L12" s="5">
        <f>SUM(H12:K12)</f>
        <v/>
      </c>
      <c r="M12" s="4" t="n">
        <v>3777</v>
      </c>
      <c r="N12" s="4" t="n">
        <v>4102</v>
      </c>
      <c r="O12" s="4" t="n">
        <v>4477</v>
      </c>
      <c r="P12" s="4" t="n">
        <v>4892</v>
      </c>
      <c r="Q12" s="5">
        <f>SUM(M12:P12)</f>
        <v/>
      </c>
      <c r="R12" s="4" t="n">
        <v>5068</v>
      </c>
      <c r="S12" s="4" t="n">
        <v>5245</v>
      </c>
      <c r="T12" s="6">
        <f>T7*T15</f>
        <v/>
      </c>
      <c r="U12" s="6">
        <f>U7*U15</f>
        <v/>
      </c>
      <c r="V12" s="5">
        <f>SUM(R12:U12)</f>
        <v/>
      </c>
      <c r="W12" s="6">
        <f>W7*W15</f>
        <v/>
      </c>
      <c r="X12" s="6">
        <f>X7*X15</f>
        <v/>
      </c>
      <c r="Y12" s="6">
        <f>Y7*Y15</f>
        <v/>
      </c>
      <c r="Z12" s="6">
        <f>Z7*Z15</f>
        <v/>
      </c>
      <c r="AA12" s="5">
        <f>SUM(W12:Z12)</f>
        <v/>
      </c>
    </row>
    <row r="13">
      <c r="A13" t="inlineStr">
        <is>
          <t>revenue freight</t>
        </is>
      </c>
      <c r="B13" t="inlineStr">
        <is>
          <t>USD millions</t>
        </is>
      </c>
      <c r="C13" s="4" t="n">
        <v>1400</v>
      </c>
      <c r="D13" s="4" t="n">
        <v>1279</v>
      </c>
      <c r="E13" s="4" t="n">
        <v>1286</v>
      </c>
      <c r="F13" s="4" t="n">
        <v>1280</v>
      </c>
      <c r="G13" s="5">
        <f>SUM(C13:F13)</f>
        <v/>
      </c>
      <c r="H13" s="4" t="n">
        <v>1284</v>
      </c>
      <c r="I13" s="4" t="n">
        <v>1273</v>
      </c>
      <c r="J13" s="4" t="n">
        <v>1309</v>
      </c>
      <c r="K13" s="4" t="n">
        <v>1275</v>
      </c>
      <c r="L13" s="5">
        <f>SUM(H13:K13)</f>
        <v/>
      </c>
      <c r="M13" s="4" t="n">
        <v>1260</v>
      </c>
      <c r="N13" s="4" t="n">
        <v>1261</v>
      </c>
      <c r="O13" s="4" t="n">
        <v>1308</v>
      </c>
      <c r="P13" s="4" t="n">
        <v>1270</v>
      </c>
      <c r="Q13" s="5">
        <f>SUM(M13:P13)</f>
        <v/>
      </c>
      <c r="R13" s="4" t="n">
        <v>1337</v>
      </c>
      <c r="S13" s="4" t="n">
        <v>1583</v>
      </c>
      <c r="T13" s="6">
        <f>T8*T16</f>
        <v/>
      </c>
      <c r="U13" s="6">
        <f>U8*U16</f>
        <v/>
      </c>
      <c r="V13" s="5">
        <f>SUM(R13:U13)</f>
        <v/>
      </c>
      <c r="W13" s="6">
        <f>W8*W16</f>
        <v/>
      </c>
      <c r="X13" s="6">
        <f>X8*X16</f>
        <v/>
      </c>
      <c r="Y13" s="6">
        <f>Y8*Y16</f>
        <v/>
      </c>
      <c r="Z13" s="6">
        <f>Z8*Z16</f>
        <v/>
      </c>
      <c r="AA13" s="5">
        <f>SUM(W13:Z13)</f>
        <v/>
      </c>
    </row>
    <row r="14">
      <c r="A14" t="inlineStr">
        <is>
          <t>take rate mobility</t>
        </is>
      </c>
      <c r="B14" t="inlineStr">
        <is>
          <t>fraction</t>
        </is>
      </c>
      <c r="C14" s="17">
        <f>C11/C6</f>
        <v/>
      </c>
      <c r="D14" s="17">
        <f>D11/D6</f>
        <v/>
      </c>
      <c r="E14" s="17">
        <f>E11/E6</f>
        <v/>
      </c>
      <c r="F14" s="17">
        <f>F11/F6</f>
        <v/>
      </c>
      <c r="G14" s="17">
        <f>G11/G6</f>
        <v/>
      </c>
      <c r="H14" s="17">
        <f>H11/H6</f>
        <v/>
      </c>
      <c r="I14" s="17">
        <f>I11/I6</f>
        <v/>
      </c>
      <c r="J14" s="17">
        <f>J11/J6</f>
        <v/>
      </c>
      <c r="K14" s="17">
        <f>K11/K6</f>
        <v/>
      </c>
      <c r="L14" s="17">
        <f>L11/L6</f>
        <v/>
      </c>
      <c r="M14" s="17">
        <f>M11/M6</f>
        <v/>
      </c>
      <c r="N14" s="17">
        <f>N11/N6</f>
        <v/>
      </c>
      <c r="O14" s="17">
        <f>O11/O6</f>
        <v/>
      </c>
      <c r="P14" s="17">
        <f>P11/P6</f>
        <v/>
      </c>
      <c r="Q14" s="17">
        <f>Q11/Q6</f>
        <v/>
      </c>
      <c r="R14" s="17">
        <f>R11/R6</f>
        <v/>
      </c>
      <c r="S14" s="17">
        <f>S11/S6</f>
        <v/>
      </c>
      <c r="T14" s="18">
        <f>MIN(MAX(IFERROR(IF(COUNT(O14)=1,O14,J14),J14)+T31,Assumptions!$B$23),Assumptions!$B$22)</f>
        <v/>
      </c>
      <c r="U14" s="18">
        <f>MIN(MAX(IFERROR(IF(COUNT(P14)=1,P14,K14),K14)+U31,Assumptions!$B$23),Assumptions!$B$22)</f>
        <v/>
      </c>
      <c r="V14" s="17">
        <f>V11/V6</f>
        <v/>
      </c>
      <c r="W14" s="18">
        <f>MIN(MAX(IFERROR(IF(COUNT(R14)=1,R14,M14),M14)+W31,Assumptions!$B$23),Assumptions!$B$22)</f>
        <v/>
      </c>
      <c r="X14" s="18">
        <f>MIN(MAX(IFERROR(IF(COUNT(S14)=1,S14,N14),N14)+X31,Assumptions!$B$23),Assumptions!$B$22)</f>
        <v/>
      </c>
      <c r="Y14" s="18">
        <f>MIN(MAX(IFERROR(IF(COUNT(T14)=1,T14,O14),O14)+Y31,Assumptions!$B$23),Assumptions!$B$22)</f>
        <v/>
      </c>
      <c r="Z14" s="18">
        <f>MIN(MAX(IFERROR(IF(COUNT(U14)=1,U14,P14),P14)+Z31,Assumptions!$B$23),Assumptions!$B$22)</f>
        <v/>
      </c>
      <c r="AA14" s="17">
        <f>AA11/AA6</f>
        <v/>
      </c>
    </row>
    <row r="15">
      <c r="A15" t="inlineStr">
        <is>
          <t>take rate delivery</t>
        </is>
      </c>
      <c r="B15" t="inlineStr">
        <is>
          <t>fraction</t>
        </is>
      </c>
      <c r="C15" s="17">
        <f>C12/C7</f>
        <v/>
      </c>
      <c r="D15" s="17">
        <f>D12/D7</f>
        <v/>
      </c>
      <c r="E15" s="17">
        <f>E12/E7</f>
        <v/>
      </c>
      <c r="F15" s="17">
        <f>F12/F7</f>
        <v/>
      </c>
      <c r="G15" s="17">
        <f>G12/G7</f>
        <v/>
      </c>
      <c r="H15" s="17">
        <f>H12/H7</f>
        <v/>
      </c>
      <c r="I15" s="17">
        <f>I12/I7</f>
        <v/>
      </c>
      <c r="J15" s="17">
        <f>J12/J7</f>
        <v/>
      </c>
      <c r="K15" s="17">
        <f>K12/K7</f>
        <v/>
      </c>
      <c r="L15" s="17">
        <f>L12/L7</f>
        <v/>
      </c>
      <c r="M15" s="17">
        <f>M12/M7</f>
        <v/>
      </c>
      <c r="N15" s="17">
        <f>N12/N7</f>
        <v/>
      </c>
      <c r="O15" s="17">
        <f>O12/O7</f>
        <v/>
      </c>
      <c r="P15" s="17">
        <f>P12/P7</f>
        <v/>
      </c>
      <c r="Q15" s="17">
        <f>Q12/Q7</f>
        <v/>
      </c>
      <c r="R15" s="17">
        <f>R12/R7</f>
        <v/>
      </c>
      <c r="S15" s="17">
        <f>S12/S7</f>
        <v/>
      </c>
      <c r="T15" s="18">
        <f>MIN(MAX(IFERROR(IF(COUNT(O15)=1,O15,J15),J15)+T32,Assumptions!$B$17),Assumptions!$B$16)</f>
        <v/>
      </c>
      <c r="U15" s="18">
        <f>MIN(MAX(IFERROR(IF(COUNT(P15)=1,P15,K15),K15)+U32,Assumptions!$B$17),Assumptions!$B$16)</f>
        <v/>
      </c>
      <c r="V15" s="17">
        <f>V12/V7</f>
        <v/>
      </c>
      <c r="W15" s="18">
        <f>MIN(MAX(IFERROR(IF(COUNT(R15)=1,R15,M15),M15)+W32,Assumptions!$B$17),Assumptions!$B$16)</f>
        <v/>
      </c>
      <c r="X15" s="18">
        <f>MIN(MAX(IFERROR(IF(COUNT(S15)=1,S15,N15),N15)+X32,Assumptions!$B$17),Assumptions!$B$16)</f>
        <v/>
      </c>
      <c r="Y15" s="18">
        <f>MIN(MAX(IFERROR(IF(COUNT(T15)=1,T15,O15),O15)+Y32,Assumptions!$B$17),Assumptions!$B$16)</f>
        <v/>
      </c>
      <c r="Z15" s="18">
        <f>MIN(MAX(IFERROR(IF(COUNT(U15)=1,U15,P15),P15)+Z32,Assumptions!$B$17),Assumptions!$B$16)</f>
        <v/>
      </c>
      <c r="AA15" s="17">
        <f>AA12/AA7</f>
        <v/>
      </c>
    </row>
    <row r="16">
      <c r="A16" t="inlineStr">
        <is>
          <t>take rate freight</t>
        </is>
      </c>
      <c r="B16" t="inlineStr">
        <is>
          <t>fraction</t>
        </is>
      </c>
      <c r="C16" s="17">
        <f>C13/C8</f>
        <v/>
      </c>
      <c r="D16" s="17">
        <f>D13/D8</f>
        <v/>
      </c>
      <c r="E16" s="17">
        <f>E13/E8</f>
        <v/>
      </c>
      <c r="F16" s="17">
        <f>F13/F8</f>
        <v/>
      </c>
      <c r="G16" s="17">
        <f>G13/G8</f>
        <v/>
      </c>
      <c r="H16" s="17">
        <f>H13/H8</f>
        <v/>
      </c>
      <c r="I16" s="17">
        <f>I13/I8</f>
        <v/>
      </c>
      <c r="J16" s="17">
        <f>J13/J8</f>
        <v/>
      </c>
      <c r="K16" s="17">
        <f>K13/K8</f>
        <v/>
      </c>
      <c r="L16" s="17">
        <f>L13/L8</f>
        <v/>
      </c>
      <c r="M16" s="17">
        <f>M13/M8</f>
        <v/>
      </c>
      <c r="N16" s="17">
        <f>N13/N8</f>
        <v/>
      </c>
      <c r="O16" s="17">
        <f>O13/O8</f>
        <v/>
      </c>
      <c r="P16" s="17">
        <f>P13/P8</f>
        <v/>
      </c>
      <c r="Q16" s="17">
        <f>Q13/Q8</f>
        <v/>
      </c>
      <c r="R16" s="17">
        <f>R13/R8</f>
        <v/>
      </c>
      <c r="S16" s="17">
        <f>S13/S8</f>
        <v/>
      </c>
      <c r="T16" s="18">
        <f>MIN(MAX(IFERROR(IF(COUNT(O16)=1,O16,J16),J16)+T33,Assumptions!$B$20),Assumptions!$B$19)</f>
        <v/>
      </c>
      <c r="U16" s="18">
        <f>MIN(MAX(IFERROR(IF(COUNT(P16)=1,P16,K16),K16)+U33,Assumptions!$B$20),Assumptions!$B$19)</f>
        <v/>
      </c>
      <c r="V16" s="17">
        <f>V13/V8</f>
        <v/>
      </c>
      <c r="W16" s="18">
        <f>MIN(MAX(IFERROR(IF(COUNT(R16)=1,R16,M16),M16)+W33,Assumptions!$B$20),Assumptions!$B$19)</f>
        <v/>
      </c>
      <c r="X16" s="18">
        <f>MIN(MAX(IFERROR(IF(COUNT(S16)=1,S16,N16),N16)+X33,Assumptions!$B$20),Assumptions!$B$19)</f>
        <v/>
      </c>
      <c r="Y16" s="18">
        <f>MIN(MAX(IFERROR(IF(COUNT(T16)=1,T16,O16),O16)+Y33,Assumptions!$B$20),Assumptions!$B$19)</f>
        <v/>
      </c>
      <c r="Z16" s="18">
        <f>MIN(MAX(IFERROR(IF(COUNT(U16)=1,U16,P16),P16)+Z33,Assumptions!$B$20),Assumptions!$B$19)</f>
        <v/>
      </c>
      <c r="AA16" s="17">
        <f>AA13/AA8</f>
        <v/>
      </c>
    </row>
    <row r="17">
      <c r="A17" t="inlineStr">
        <is>
          <t>take rate (total)</t>
        </is>
      </c>
      <c r="B17" t="inlineStr">
        <is>
          <t>fraction</t>
        </is>
      </c>
      <c r="C17" s="17">
        <f>C47/C9</f>
        <v/>
      </c>
      <c r="D17" s="17">
        <f>D47/D9</f>
        <v/>
      </c>
      <c r="E17" s="17">
        <f>E47/E9</f>
        <v/>
      </c>
      <c r="F17" s="17">
        <f>F47/F9</f>
        <v/>
      </c>
      <c r="G17" s="17">
        <f>G47/G9</f>
        <v/>
      </c>
      <c r="H17" s="17">
        <f>H47/H9</f>
        <v/>
      </c>
      <c r="I17" s="17">
        <f>I47/I9</f>
        <v/>
      </c>
      <c r="J17" s="17">
        <f>J47/J9</f>
        <v/>
      </c>
      <c r="K17" s="17">
        <f>K47/K9</f>
        <v/>
      </c>
      <c r="L17" s="17">
        <f>L47/L9</f>
        <v/>
      </c>
      <c r="M17" s="17">
        <f>M47/M9</f>
        <v/>
      </c>
      <c r="N17" s="17">
        <f>N47/N9</f>
        <v/>
      </c>
      <c r="O17" s="17">
        <f>O47/O9</f>
        <v/>
      </c>
      <c r="P17" s="17">
        <f>P47/P9</f>
        <v/>
      </c>
      <c r="Q17" s="17">
        <f>Q47/Q9</f>
        <v/>
      </c>
      <c r="R17" s="17">
        <f>R47/R9</f>
        <v/>
      </c>
      <c r="S17" s="17">
        <f>S47/S9</f>
        <v/>
      </c>
      <c r="T17" s="18">
        <f>T47/T9</f>
        <v/>
      </c>
      <c r="U17" s="18">
        <f>U47/U9</f>
        <v/>
      </c>
      <c r="V17" s="17">
        <f>V47/V9</f>
        <v/>
      </c>
      <c r="W17" s="18">
        <f>W47/W9</f>
        <v/>
      </c>
      <c r="X17" s="18">
        <f>X47/X9</f>
        <v/>
      </c>
      <c r="Y17" s="18">
        <f>Y47/Y9</f>
        <v/>
      </c>
      <c r="Z17" s="18">
        <f>Z47/Z9</f>
        <v/>
      </c>
      <c r="AA17" s="17">
        <f>AA47/AA9</f>
        <v/>
      </c>
    </row>
    <row r="18">
      <c r="A18" t="inlineStr">
        <is>
          <t>adj ebitda mobility</t>
        </is>
      </c>
      <c r="B18" t="inlineStr">
        <is>
          <t>USD millions</t>
        </is>
      </c>
      <c r="C18" s="4" t="n">
        <v>1060</v>
      </c>
      <c r="D18" s="4" t="n">
        <v>1170</v>
      </c>
      <c r="E18" s="4" t="n">
        <v>1287</v>
      </c>
      <c r="F18" s="4" t="n">
        <v>1446</v>
      </c>
      <c r="G18" s="5">
        <f>SUM(C18:F18)</f>
        <v/>
      </c>
      <c r="H18" s="4" t="n">
        <v>1479</v>
      </c>
      <c r="I18" s="4" t="n">
        <v>1567</v>
      </c>
      <c r="J18" s="4" t="n">
        <v>1682</v>
      </c>
      <c r="K18" s="4" t="n">
        <v>1769</v>
      </c>
      <c r="L18" s="5">
        <f>SUM(H18:K18)</f>
        <v/>
      </c>
      <c r="M18" s="4" t="n">
        <v>1753</v>
      </c>
      <c r="N18" s="4" t="n">
        <v>1905</v>
      </c>
      <c r="O18" s="4" t="n">
        <v>2038</v>
      </c>
      <c r="P18" s="4" t="n">
        <v>2203</v>
      </c>
      <c r="Q18" s="5">
        <f>SUM(M18:P18)</f>
        <v/>
      </c>
      <c r="R18" s="7" t="n"/>
      <c r="S18" s="7" t="n"/>
      <c r="T18" s="7" t="n"/>
      <c r="U18" s="7" t="n"/>
      <c r="V18" s="7" t="n"/>
      <c r="W18" s="7" t="n"/>
      <c r="X18" s="7" t="n"/>
      <c r="Y18" s="7" t="n"/>
      <c r="Z18" s="7" t="n"/>
      <c r="AA18" s="7" t="n"/>
    </row>
    <row r="19">
      <c r="A19" t="inlineStr">
        <is>
          <t>adj ebitda delivery</t>
        </is>
      </c>
      <c r="B19" t="inlineStr">
        <is>
          <t>USD millions</t>
        </is>
      </c>
      <c r="C19" s="4" t="n">
        <v>288</v>
      </c>
      <c r="D19" s="4" t="n">
        <v>329</v>
      </c>
      <c r="E19" s="4" t="n">
        <v>413</v>
      </c>
      <c r="F19" s="4" t="n">
        <v>476</v>
      </c>
      <c r="G19" s="5">
        <f>SUM(C19:F19)</f>
        <v/>
      </c>
      <c r="H19" s="4" t="n">
        <v>528</v>
      </c>
      <c r="I19" s="4" t="n">
        <v>588</v>
      </c>
      <c r="J19" s="4" t="n">
        <v>628</v>
      </c>
      <c r="K19" s="4" t="n">
        <v>727</v>
      </c>
      <c r="L19" s="5">
        <f>SUM(H19:K19)</f>
        <v/>
      </c>
      <c r="M19" s="4" t="n">
        <v>763</v>
      </c>
      <c r="N19" s="4" t="n">
        <v>873</v>
      </c>
      <c r="O19" s="4" t="n">
        <v>921</v>
      </c>
      <c r="P19" s="4" t="n">
        <v>1015</v>
      </c>
      <c r="Q19" s="5">
        <f>SUM(M19:P19)</f>
        <v/>
      </c>
      <c r="R19" s="7" t="n"/>
      <c r="S19" s="7" t="n"/>
      <c r="T19" s="7" t="n"/>
      <c r="U19" s="7" t="n"/>
      <c r="V19" s="7" t="n"/>
      <c r="W19" s="7" t="n"/>
      <c r="X19" s="7" t="n"/>
      <c r="Y19" s="7" t="n"/>
      <c r="Z19" s="7" t="n"/>
      <c r="AA19" s="7" t="n"/>
    </row>
    <row r="20">
      <c r="A20" t="inlineStr">
        <is>
          <t>adj ebitda freight</t>
        </is>
      </c>
      <c r="B20" t="inlineStr">
        <is>
          <t>USD millions</t>
        </is>
      </c>
      <c r="C20" s="4" t="n">
        <v>-23</v>
      </c>
      <c r="D20" s="4" t="n">
        <v>-14</v>
      </c>
      <c r="E20" s="4" t="n">
        <v>-13</v>
      </c>
      <c r="F20" s="4" t="n">
        <v>-14</v>
      </c>
      <c r="G20" s="5">
        <f>SUM(C20:F20)</f>
        <v/>
      </c>
      <c r="H20" s="4" t="n">
        <v>-21</v>
      </c>
      <c r="I20" s="4" t="n">
        <v>-12</v>
      </c>
      <c r="J20" s="4" t="n">
        <v>-19</v>
      </c>
      <c r="K20" s="4" t="n">
        <v>-22</v>
      </c>
      <c r="L20" s="5">
        <f>SUM(H20:K20)</f>
        <v/>
      </c>
      <c r="M20" s="4" t="n">
        <v>-7</v>
      </c>
      <c r="N20" s="4" t="n">
        <v>-6</v>
      </c>
      <c r="O20" s="4" t="n">
        <v>-20</v>
      </c>
      <c r="P20" s="4" t="n">
        <v>0</v>
      </c>
      <c r="Q20" s="5">
        <f>SUM(M20:P20)</f>
        <v/>
      </c>
      <c r="R20" s="7" t="n"/>
      <c r="S20" s="7" t="n"/>
      <c r="T20" s="7" t="n"/>
      <c r="U20" s="7" t="n"/>
      <c r="V20" s="7" t="n"/>
      <c r="W20" s="7" t="n"/>
      <c r="X20" s="7" t="n"/>
      <c r="Y20" s="7" t="n"/>
      <c r="Z20" s="7" t="n"/>
      <c r="AA20" s="7" t="n"/>
    </row>
    <row r="21">
      <c r="A21" t="inlineStr">
        <is>
          <t>corporate G&amp;A and platform R&amp;D</t>
        </is>
      </c>
      <c r="B21" t="inlineStr">
        <is>
          <t>USD millions</t>
        </is>
      </c>
      <c r="C21" s="4" t="n">
        <v>-564</v>
      </c>
      <c r="D21" s="4" t="n">
        <v>-569</v>
      </c>
      <c r="E21" s="4" t="n">
        <v>-595</v>
      </c>
      <c r="F21" s="4" t="n">
        <v>-625</v>
      </c>
      <c r="G21" s="5">
        <f>SUM(C21:F21)</f>
        <v/>
      </c>
      <c r="H21" s="4" t="n">
        <v>-604</v>
      </c>
      <c r="I21" s="4" t="n">
        <v>-573</v>
      </c>
      <c r="J21" s="4" t="n">
        <v>-601</v>
      </c>
      <c r="K21" s="4" t="n">
        <v>-632</v>
      </c>
      <c r="L21" s="5">
        <f>SUM(H21:K21)</f>
        <v/>
      </c>
      <c r="M21" s="4" t="n">
        <v>-641</v>
      </c>
      <c r="N21" s="4" t="n">
        <v>-653</v>
      </c>
      <c r="O21" s="4" t="n">
        <v>-683</v>
      </c>
      <c r="P21" s="4" t="n">
        <v>-731</v>
      </c>
      <c r="Q21" s="5">
        <f>SUM(M21:P21)</f>
        <v/>
      </c>
      <c r="R21" s="7" t="n"/>
      <c r="S21" s="7" t="n"/>
      <c r="T21" s="7" t="n"/>
      <c r="U21" s="7" t="n"/>
      <c r="V21" s="7" t="n"/>
      <c r="W21" s="7" t="n"/>
      <c r="X21" s="7" t="n"/>
      <c r="Y21" s="7" t="n"/>
      <c r="Z21" s="7" t="n"/>
      <c r="AA21" s="7" t="n"/>
    </row>
    <row r="22">
      <c r="A22" t="inlineStr">
        <is>
          <t>Mobility adj. EBITDA margin on gross bookings</t>
        </is>
      </c>
      <c r="B22" t="inlineStr">
        <is>
          <t>fraction</t>
        </is>
      </c>
      <c r="C22" s="17">
        <f>C18/C6</f>
        <v/>
      </c>
      <c r="D22" s="17">
        <f>D18/D6</f>
        <v/>
      </c>
      <c r="E22" s="17">
        <f>E18/E6</f>
        <v/>
      </c>
      <c r="F22" s="17">
        <f>F18/F6</f>
        <v/>
      </c>
      <c r="G22" s="17">
        <f>G18/G6</f>
        <v/>
      </c>
      <c r="H22" s="17">
        <f>H18/H6</f>
        <v/>
      </c>
      <c r="I22" s="17">
        <f>I18/I6</f>
        <v/>
      </c>
      <c r="J22" s="17">
        <f>J18/J6</f>
        <v/>
      </c>
      <c r="K22" s="17">
        <f>K18/K6</f>
        <v/>
      </c>
      <c r="L22" s="17">
        <f>L18/L6</f>
        <v/>
      </c>
      <c r="M22" s="17">
        <f>M18/M6</f>
        <v/>
      </c>
      <c r="N22" s="17">
        <f>N18/N6</f>
        <v/>
      </c>
      <c r="O22" s="17">
        <f>O18/O6</f>
        <v/>
      </c>
      <c r="P22" s="17">
        <f>P18/P6</f>
        <v/>
      </c>
      <c r="Q22" s="17">
        <f>Q18/Q6</f>
        <v/>
      </c>
      <c r="R22" s="19" t="n"/>
      <c r="S22" s="19" t="n"/>
      <c r="T22" s="19" t="n"/>
      <c r="U22" s="19" t="n"/>
      <c r="V22" s="19" t="n"/>
      <c r="W22" s="19" t="n"/>
      <c r="X22" s="19" t="n"/>
      <c r="Y22" s="19" t="n"/>
      <c r="Z22" s="19" t="n"/>
      <c r="AA22" s="19" t="n"/>
    </row>
    <row r="23">
      <c r="A23" t="inlineStr">
        <is>
          <t>Delivery adj. EBITDA margin on gross bookings</t>
        </is>
      </c>
      <c r="B23" t="inlineStr">
        <is>
          <t>fraction</t>
        </is>
      </c>
      <c r="C23" s="17">
        <f>C19/C7</f>
        <v/>
      </c>
      <c r="D23" s="17">
        <f>D19/D7</f>
        <v/>
      </c>
      <c r="E23" s="17">
        <f>E19/E7</f>
        <v/>
      </c>
      <c r="F23" s="17">
        <f>F19/F7</f>
        <v/>
      </c>
      <c r="G23" s="17">
        <f>G19/G7</f>
        <v/>
      </c>
      <c r="H23" s="17">
        <f>H19/H7</f>
        <v/>
      </c>
      <c r="I23" s="17">
        <f>I19/I7</f>
        <v/>
      </c>
      <c r="J23" s="17">
        <f>J19/J7</f>
        <v/>
      </c>
      <c r="K23" s="17">
        <f>K19/K7</f>
        <v/>
      </c>
      <c r="L23" s="17">
        <f>L19/L7</f>
        <v/>
      </c>
      <c r="M23" s="17">
        <f>M19/M7</f>
        <v/>
      </c>
      <c r="N23" s="17">
        <f>N19/N7</f>
        <v/>
      </c>
      <c r="O23" s="17">
        <f>O19/O7</f>
        <v/>
      </c>
      <c r="P23" s="17">
        <f>P19/P7</f>
        <v/>
      </c>
      <c r="Q23" s="17">
        <f>Q19/Q7</f>
        <v/>
      </c>
      <c r="R23" s="19" t="n"/>
      <c r="S23" s="19" t="n"/>
      <c r="T23" s="19" t="n"/>
      <c r="U23" s="19" t="n"/>
      <c r="V23" s="19" t="n"/>
      <c r="W23" s="19" t="n"/>
      <c r="X23" s="19" t="n"/>
      <c r="Y23" s="19" t="n"/>
      <c r="Z23" s="19" t="n"/>
      <c r="AA23" s="19" t="n"/>
    </row>
    <row r="24">
      <c r="A24" t="inlineStr">
        <is>
          <t>Freight adj. EBITDA margin on revenue</t>
        </is>
      </c>
      <c r="B24" t="inlineStr">
        <is>
          <t>fraction</t>
        </is>
      </c>
      <c r="C24" s="17">
        <f>C20/C13</f>
        <v/>
      </c>
      <c r="D24" s="17">
        <f>D20/D13</f>
        <v/>
      </c>
      <c r="E24" s="17">
        <f>E20/E13</f>
        <v/>
      </c>
      <c r="F24" s="17">
        <f>F20/F13</f>
        <v/>
      </c>
      <c r="G24" s="17">
        <f>G20/G13</f>
        <v/>
      </c>
      <c r="H24" s="17">
        <f>H20/H13</f>
        <v/>
      </c>
      <c r="I24" s="17">
        <f>I20/I13</f>
        <v/>
      </c>
      <c r="J24" s="17">
        <f>J20/J13</f>
        <v/>
      </c>
      <c r="K24" s="17">
        <f>K20/K13</f>
        <v/>
      </c>
      <c r="L24" s="17">
        <f>L20/L13</f>
        <v/>
      </c>
      <c r="M24" s="17">
        <f>M20/M13</f>
        <v/>
      </c>
      <c r="N24" s="17">
        <f>N20/N13</f>
        <v/>
      </c>
      <c r="O24" s="17">
        <f>O20/O13</f>
        <v/>
      </c>
      <c r="P24" s="17">
        <f>P20/P13</f>
        <v/>
      </c>
      <c r="Q24" s="17">
        <f>Q20/Q13</f>
        <v/>
      </c>
      <c r="R24" s="19" t="n"/>
      <c r="S24" s="19" t="n"/>
      <c r="T24" s="19" t="n"/>
      <c r="U24" s="19" t="n"/>
      <c r="V24" s="19" t="n"/>
      <c r="W24" s="19" t="n"/>
      <c r="X24" s="19" t="n"/>
      <c r="Y24" s="19" t="n"/>
      <c r="Z24" s="19" t="n"/>
      <c r="AA24" s="19" t="n"/>
    </row>
    <row r="25">
      <c r="A25" t="inlineStr">
        <is>
          <t>Mobility gross bookings growth y/y</t>
        </is>
      </c>
      <c r="B25" t="inlineStr">
        <is>
          <t>fraction</t>
        </is>
      </c>
      <c r="C25" s="19" t="n"/>
      <c r="D25" s="19" t="n"/>
      <c r="E25" s="19" t="n"/>
      <c r="F25" s="19" t="n"/>
      <c r="G25" s="19" t="n"/>
      <c r="H25" s="17">
        <f>(H6/C6)-1</f>
        <v/>
      </c>
      <c r="I25" s="17">
        <f>(I6/D6)-1</f>
        <v/>
      </c>
      <c r="J25" s="17">
        <f>(J6/E6)-1</f>
        <v/>
      </c>
      <c r="K25" s="17">
        <f>(K6/F6)-1</f>
        <v/>
      </c>
      <c r="L25" s="19" t="n"/>
      <c r="M25" s="17">
        <f>(M6/H6)-1</f>
        <v/>
      </c>
      <c r="N25" s="17">
        <f>(N6/I6)-1</f>
        <v/>
      </c>
      <c r="O25" s="17">
        <f>(O6/J6)-1</f>
        <v/>
      </c>
      <c r="P25" s="17">
        <f>(P6/K6)-1</f>
        <v/>
      </c>
      <c r="Q25" s="19" t="n"/>
      <c r="R25" s="17">
        <f>(R6/M6)-1</f>
        <v/>
      </c>
      <c r="S25" s="17">
        <f>(S6/N6)-1</f>
        <v/>
      </c>
      <c r="T25" s="18">
        <f>Assumptions!$B$12+Assumptions!$B$9</f>
        <v/>
      </c>
      <c r="U25" s="18">
        <f>((T25-Assumptions!$B$9)*Assumptions!$B$8)+Assumptions!$B$9</f>
        <v/>
      </c>
      <c r="V25" s="19" t="n"/>
      <c r="W25" s="18">
        <f>((U25-Assumptions!$B$9)*Assumptions!$B$8)+Assumptions!$B$9</f>
        <v/>
      </c>
      <c r="X25" s="18">
        <f>((W25-Assumptions!$B$9)*Assumptions!$B$8)+Assumptions!$B$9</f>
        <v/>
      </c>
      <c r="Y25" s="18">
        <f>((X25-Assumptions!$B$9)*Assumptions!$B$8)+Assumptions!$B$9</f>
        <v/>
      </c>
      <c r="Z25" s="18">
        <f>((Y25-Assumptions!$B$9)*Assumptions!$B$8)+Assumptions!$B$9</f>
        <v/>
      </c>
      <c r="AA25" s="19" t="n"/>
    </row>
    <row r="26">
      <c r="A26" t="inlineStr">
        <is>
          <t>Delivery gross bookings growth y/y</t>
        </is>
      </c>
      <c r="B26" t="inlineStr">
        <is>
          <t>fraction</t>
        </is>
      </c>
      <c r="C26" s="19" t="n"/>
      <c r="D26" s="19" t="n"/>
      <c r="E26" s="19" t="n"/>
      <c r="F26" s="19" t="n"/>
      <c r="G26" s="19" t="n"/>
      <c r="H26" s="17">
        <f>(H7/C7)-1</f>
        <v/>
      </c>
      <c r="I26" s="17">
        <f>(I7/D7)-1</f>
        <v/>
      </c>
      <c r="J26" s="17">
        <f>(J7/E7)-1</f>
        <v/>
      </c>
      <c r="K26" s="17">
        <f>(K7/F7)-1</f>
        <v/>
      </c>
      <c r="L26" s="19" t="n"/>
      <c r="M26" s="17">
        <f>(M7/H7)-1</f>
        <v/>
      </c>
      <c r="N26" s="17">
        <f>(N7/I7)-1</f>
        <v/>
      </c>
      <c r="O26" s="17">
        <f>(O7/J7)-1</f>
        <v/>
      </c>
      <c r="P26" s="17">
        <f>(P7/K7)-1</f>
        <v/>
      </c>
      <c r="Q26" s="19" t="n"/>
      <c r="R26" s="17">
        <f>(R7/M7)-1</f>
        <v/>
      </c>
      <c r="S26" s="17">
        <f>(S7/N7)-1</f>
        <v/>
      </c>
      <c r="T26" s="18">
        <f>Assumptions!$B$10+Assumptions!$B$9</f>
        <v/>
      </c>
      <c r="U26" s="18">
        <f>((T26-Assumptions!$B$9)*Assumptions!$B$8)+Assumptions!$B$9</f>
        <v/>
      </c>
      <c r="V26" s="19" t="n"/>
      <c r="W26" s="18">
        <f>((U26-Assumptions!$B$9)*Assumptions!$B$8)+Assumptions!$B$9</f>
        <v/>
      </c>
      <c r="X26" s="18">
        <f>((W26-Assumptions!$B$9)*Assumptions!$B$8)+Assumptions!$B$9</f>
        <v/>
      </c>
      <c r="Y26" s="18">
        <f>((X26-Assumptions!$B$9)*Assumptions!$B$8)+Assumptions!$B$9</f>
        <v/>
      </c>
      <c r="Z26" s="18">
        <f>((Y26-Assumptions!$B$9)*Assumptions!$B$8)+Assumptions!$B$9</f>
        <v/>
      </c>
      <c r="AA26" s="19" t="n"/>
    </row>
    <row r="27">
      <c r="A27" t="inlineStr">
        <is>
          <t>Freight gross bookings growth y/y</t>
        </is>
      </c>
      <c r="B27" t="inlineStr">
        <is>
          <t>fraction</t>
        </is>
      </c>
      <c r="C27" s="19" t="n"/>
      <c r="D27" s="19" t="n"/>
      <c r="E27" s="19" t="n"/>
      <c r="F27" s="19" t="n"/>
      <c r="G27" s="19" t="n"/>
      <c r="H27" s="17">
        <f>(H8/C8)-1</f>
        <v/>
      </c>
      <c r="I27" s="17">
        <f>(I8/D8)-1</f>
        <v/>
      </c>
      <c r="J27" s="17">
        <f>(J8/E8)-1</f>
        <v/>
      </c>
      <c r="K27" s="17">
        <f>(K8/F8)-1</f>
        <v/>
      </c>
      <c r="L27" s="19" t="n"/>
      <c r="M27" s="17">
        <f>(M8/H8)-1</f>
        <v/>
      </c>
      <c r="N27" s="17">
        <f>(N8/I8)-1</f>
        <v/>
      </c>
      <c r="O27" s="17">
        <f>(O8/J8)-1</f>
        <v/>
      </c>
      <c r="P27" s="17">
        <f>(P8/K8)-1</f>
        <v/>
      </c>
      <c r="Q27" s="19" t="n"/>
      <c r="R27" s="17">
        <f>(R8/M8)-1</f>
        <v/>
      </c>
      <c r="S27" s="17">
        <f>(S8/N8)-1</f>
        <v/>
      </c>
      <c r="T27" s="18">
        <f>Assumptions!$B$11</f>
        <v/>
      </c>
      <c r="U27" s="18">
        <f>T27*Assumptions!$B$8</f>
        <v/>
      </c>
      <c r="V27" s="19" t="n"/>
      <c r="W27" s="18">
        <f>U27*Assumptions!$B$8</f>
        <v/>
      </c>
      <c r="X27" s="18">
        <f>W27*Assumptions!$B$8</f>
        <v/>
      </c>
      <c r="Y27" s="18">
        <f>X27*Assumptions!$B$8</f>
        <v/>
      </c>
      <c r="Z27" s="18">
        <f>Y27*Assumptions!$B$8</f>
        <v/>
      </c>
      <c r="AA27" s="19" t="n"/>
    </row>
    <row r="28">
      <c r="A28" t="inlineStr">
        <is>
          <t>adjusted EBITDA margin on gross bookings</t>
        </is>
      </c>
      <c r="B28" t="inlineStr">
        <is>
          <t>fraction</t>
        </is>
      </c>
      <c r="C28" s="17">
        <f>C46/C9</f>
        <v/>
      </c>
      <c r="D28" s="17">
        <f>D46/D9</f>
        <v/>
      </c>
      <c r="E28" s="17">
        <f>E46/E9</f>
        <v/>
      </c>
      <c r="F28" s="17">
        <f>F46/F9</f>
        <v/>
      </c>
      <c r="G28" s="17">
        <f>G46/G9</f>
        <v/>
      </c>
      <c r="H28" s="17">
        <f>H46/H9</f>
        <v/>
      </c>
      <c r="I28" s="17">
        <f>I46/I9</f>
        <v/>
      </c>
      <c r="J28" s="17">
        <f>J46/J9</f>
        <v/>
      </c>
      <c r="K28" s="17">
        <f>K46/K9</f>
        <v/>
      </c>
      <c r="L28" s="17">
        <f>L46/L9</f>
        <v/>
      </c>
      <c r="M28" s="17">
        <f>M46/M9</f>
        <v/>
      </c>
      <c r="N28" s="17">
        <f>N46/N9</f>
        <v/>
      </c>
      <c r="O28" s="17">
        <f>O46/O9</f>
        <v/>
      </c>
      <c r="P28" s="17">
        <f>P46/P9</f>
        <v/>
      </c>
      <c r="Q28" s="17">
        <f>Q46/Q9</f>
        <v/>
      </c>
      <c r="R28" s="17">
        <f>R46/R9</f>
        <v/>
      </c>
      <c r="S28" s="17">
        <f>S46/S9</f>
        <v/>
      </c>
      <c r="T28" s="18">
        <f>T46/T9</f>
        <v/>
      </c>
      <c r="U28" s="18">
        <f>U46/U9</f>
        <v/>
      </c>
      <c r="V28" s="17">
        <f>V46/V9</f>
        <v/>
      </c>
      <c r="W28" s="18">
        <f>W46/W9</f>
        <v/>
      </c>
      <c r="X28" s="18">
        <f>X46/X9</f>
        <v/>
      </c>
      <c r="Y28" s="18">
        <f>Y46/Y9</f>
        <v/>
      </c>
      <c r="Z28" s="18">
        <f>Z46/Z9</f>
        <v/>
      </c>
      <c r="AA28" s="17">
        <f>AA46/AA9</f>
        <v/>
      </c>
    </row>
    <row r="29">
      <c r="A29" t="inlineStr">
        <is>
          <t>costs before adj. EBITDA as a share of gross bookings</t>
        </is>
      </c>
      <c r="B29" t="inlineStr">
        <is>
          <t>fraction</t>
        </is>
      </c>
      <c r="C29" s="17">
        <f>(C47-C46)/C9</f>
        <v/>
      </c>
      <c r="D29" s="17">
        <f>(D47-D46)/D9</f>
        <v/>
      </c>
      <c r="E29" s="17">
        <f>(E47-E46)/E9</f>
        <v/>
      </c>
      <c r="F29" s="17">
        <f>(F47-F46)/F9</f>
        <v/>
      </c>
      <c r="G29" s="17">
        <f>(G47-G46)/G9</f>
        <v/>
      </c>
      <c r="H29" s="17">
        <f>(H47-H46)/H9</f>
        <v/>
      </c>
      <c r="I29" s="17">
        <f>(I47-I46)/I9</f>
        <v/>
      </c>
      <c r="J29" s="17">
        <f>(J47-J46)/J9</f>
        <v/>
      </c>
      <c r="K29" s="17">
        <f>(K47-K46)/K9</f>
        <v/>
      </c>
      <c r="L29" s="17">
        <f>(L47-L46)/L9</f>
        <v/>
      </c>
      <c r="M29" s="17">
        <f>(M47-M46)/M9</f>
        <v/>
      </c>
      <c r="N29" s="17">
        <f>(N47-N46)/N9</f>
        <v/>
      </c>
      <c r="O29" s="17">
        <f>(O47-O46)/O9</f>
        <v/>
      </c>
      <c r="P29" s="17">
        <f>(P47-P46)/P9</f>
        <v/>
      </c>
      <c r="Q29" s="17">
        <f>(Q47-Q46)/Q9</f>
        <v/>
      </c>
      <c r="R29" s="17">
        <f>(R47-R46)/R9</f>
        <v/>
      </c>
      <c r="S29" s="17">
        <f>(S47-S46)/S9</f>
        <v/>
      </c>
      <c r="T29" s="18">
        <f>MIN(MAX(IFERROR(IF(COUNT(O29)=1,O29,J29),J29)+T34,Assumptions!$B$5),Assumptions!$B$4)</f>
        <v/>
      </c>
      <c r="U29" s="18">
        <f>MIN(MAX(IFERROR(IF(COUNT(P29)=1,P29,K29),K29)+U34,Assumptions!$B$5),Assumptions!$B$4)</f>
        <v/>
      </c>
      <c r="V29" s="17">
        <f>(V47-V46)/V9</f>
        <v/>
      </c>
      <c r="W29" s="18">
        <f>MIN(MAX(IFERROR(IF(COUNT(R29)=1,R29,M29),M29)+W34,Assumptions!$B$5),Assumptions!$B$4)</f>
        <v/>
      </c>
      <c r="X29" s="18">
        <f>MIN(MAX(IFERROR(IF(COUNT(S29)=1,S29,N29),N29)+X34,Assumptions!$B$5),Assumptions!$B$4)</f>
        <v/>
      </c>
      <c r="Y29" s="18">
        <f>MIN(MAX(IFERROR(IF(COUNT(T29)=1,T29,O29),O29)+Y34,Assumptions!$B$5),Assumptions!$B$4)</f>
        <v/>
      </c>
      <c r="Z29" s="18">
        <f>MIN(MAX(IFERROR(IF(COUNT(U29)=1,U29,P29),P29)+Z34,Assumptions!$B$5),Assumptions!$B$4)</f>
        <v/>
      </c>
      <c r="AA29" s="17">
        <f>(AA47-AA46)/AA9</f>
        <v/>
      </c>
    </row>
    <row r="30">
      <c r="A30" t="inlineStr">
        <is>
          <t>trips growth y/y</t>
        </is>
      </c>
      <c r="B30" t="inlineStr">
        <is>
          <t>fraction</t>
        </is>
      </c>
      <c r="C30" s="19" t="n"/>
      <c r="D30" s="19" t="n"/>
      <c r="E30" s="19" t="n"/>
      <c r="F30" s="19" t="n"/>
      <c r="G30" s="19" t="n"/>
      <c r="H30" s="17">
        <f>(H4/C4)-1</f>
        <v/>
      </c>
      <c r="I30" s="17">
        <f>(I4/D4)-1</f>
        <v/>
      </c>
      <c r="J30" s="17">
        <f>(J4/E4)-1</f>
        <v/>
      </c>
      <c r="K30" s="17">
        <f>(K4/F4)-1</f>
        <v/>
      </c>
      <c r="L30" s="19" t="n"/>
      <c r="M30" s="17">
        <f>(M4/H4)-1</f>
        <v/>
      </c>
      <c r="N30" s="17">
        <f>(N4/I4)-1</f>
        <v/>
      </c>
      <c r="O30" s="17">
        <f>(O4/J4)-1</f>
        <v/>
      </c>
      <c r="P30" s="17">
        <f>(P4/K4)-1</f>
        <v/>
      </c>
      <c r="Q30" s="19" t="n"/>
      <c r="R30" s="17">
        <f>(R4/M4)-1</f>
        <v/>
      </c>
      <c r="S30" s="17">
        <f>(S4/N4)-1</f>
        <v/>
      </c>
      <c r="T30" s="18">
        <f>Assumptions!$B$26</f>
        <v/>
      </c>
      <c r="U30" s="18">
        <f>T30*Assumptions!$B$8</f>
        <v/>
      </c>
      <c r="V30" s="19" t="n"/>
      <c r="W30" s="18">
        <f>U30*Assumptions!$B$8</f>
        <v/>
      </c>
      <c r="X30" s="18">
        <f>W30*Assumptions!$B$8</f>
        <v/>
      </c>
      <c r="Y30" s="18">
        <f>X30*Assumptions!$B$8</f>
        <v/>
      </c>
      <c r="Z30" s="18">
        <f>Y30*Assumptions!$B$8</f>
        <v/>
      </c>
      <c r="AA30" s="19" t="n"/>
    </row>
    <row r="31">
      <c r="A31" t="inlineStr">
        <is>
          <t>take rate mobility change y/y</t>
        </is>
      </c>
      <c r="B31" t="inlineStr">
        <is>
          <t>fraction</t>
        </is>
      </c>
      <c r="C31" s="19" t="n"/>
      <c r="D31" s="19" t="n"/>
      <c r="E31" s="19" t="n"/>
      <c r="F31" s="19" t="n"/>
      <c r="G31" s="19" t="n"/>
      <c r="H31" s="17">
        <f>H14-C14</f>
        <v/>
      </c>
      <c r="I31" s="17">
        <f>I14-D14</f>
        <v/>
      </c>
      <c r="J31" s="17">
        <f>J14-E14</f>
        <v/>
      </c>
      <c r="K31" s="17">
        <f>K14-F14</f>
        <v/>
      </c>
      <c r="L31" s="19" t="n"/>
      <c r="M31" s="17">
        <f>M14-H14</f>
        <v/>
      </c>
      <c r="N31" s="17">
        <f>N14-I14</f>
        <v/>
      </c>
      <c r="O31" s="17">
        <f>O14-J14</f>
        <v/>
      </c>
      <c r="P31" s="17">
        <f>P14-K14</f>
        <v/>
      </c>
      <c r="Q31" s="19" t="n"/>
      <c r="R31" s="17">
        <f>R14-M14</f>
        <v/>
      </c>
      <c r="S31" s="17">
        <f>S14-N14</f>
        <v/>
      </c>
      <c r="T31" s="18">
        <f>Assumptions!$B$24</f>
        <v/>
      </c>
      <c r="U31" s="18">
        <f>T31*Assumptions!$B$8</f>
        <v/>
      </c>
      <c r="V31" s="19" t="n"/>
      <c r="W31" s="18">
        <f>U31*Assumptions!$B$8</f>
        <v/>
      </c>
      <c r="X31" s="18">
        <f>W31*Assumptions!$B$8</f>
        <v/>
      </c>
      <c r="Y31" s="18">
        <f>0</f>
        <v/>
      </c>
      <c r="Z31" s="18">
        <f>0</f>
        <v/>
      </c>
      <c r="AA31" s="19" t="n"/>
    </row>
    <row r="32">
      <c r="A32" t="inlineStr">
        <is>
          <t>take rate delivery change y/y</t>
        </is>
      </c>
      <c r="B32" t="inlineStr">
        <is>
          <t>fraction</t>
        </is>
      </c>
      <c r="C32" s="19" t="n"/>
      <c r="D32" s="19" t="n"/>
      <c r="E32" s="19" t="n"/>
      <c r="F32" s="19" t="n"/>
      <c r="G32" s="19" t="n"/>
      <c r="H32" s="17">
        <f>H15-C15</f>
        <v/>
      </c>
      <c r="I32" s="17">
        <f>I15-D15</f>
        <v/>
      </c>
      <c r="J32" s="17">
        <f>J15-E15</f>
        <v/>
      </c>
      <c r="K32" s="17">
        <f>K15-F15</f>
        <v/>
      </c>
      <c r="L32" s="19" t="n"/>
      <c r="M32" s="17">
        <f>M15-H15</f>
        <v/>
      </c>
      <c r="N32" s="17">
        <f>N15-I15</f>
        <v/>
      </c>
      <c r="O32" s="17">
        <f>O15-J15</f>
        <v/>
      </c>
      <c r="P32" s="17">
        <f>P15-K15</f>
        <v/>
      </c>
      <c r="Q32" s="19" t="n"/>
      <c r="R32" s="17">
        <f>R15-M15</f>
        <v/>
      </c>
      <c r="S32" s="17">
        <f>S15-N15</f>
        <v/>
      </c>
      <c r="T32" s="18">
        <f>Assumptions!$B$18</f>
        <v/>
      </c>
      <c r="U32" s="18">
        <f>T32*Assumptions!$B$8</f>
        <v/>
      </c>
      <c r="V32" s="19" t="n"/>
      <c r="W32" s="18">
        <f>U32*Assumptions!$B$8</f>
        <v/>
      </c>
      <c r="X32" s="18">
        <f>W32*Assumptions!$B$8</f>
        <v/>
      </c>
      <c r="Y32" s="18">
        <f>0</f>
        <v/>
      </c>
      <c r="Z32" s="18">
        <f>0</f>
        <v/>
      </c>
      <c r="AA32" s="19" t="n"/>
    </row>
    <row r="33">
      <c r="A33" t="inlineStr">
        <is>
          <t>take rate freight change y/y</t>
        </is>
      </c>
      <c r="B33" t="inlineStr">
        <is>
          <t>fraction</t>
        </is>
      </c>
      <c r="C33" s="19" t="n"/>
      <c r="D33" s="19" t="n"/>
      <c r="E33" s="19" t="n"/>
      <c r="F33" s="19" t="n"/>
      <c r="G33" s="19" t="n"/>
      <c r="H33" s="17">
        <f>H16-C16</f>
        <v/>
      </c>
      <c r="I33" s="17">
        <f>I16-D16</f>
        <v/>
      </c>
      <c r="J33" s="17">
        <f>J16-E16</f>
        <v/>
      </c>
      <c r="K33" s="17">
        <f>K16-F16</f>
        <v/>
      </c>
      <c r="L33" s="19" t="n"/>
      <c r="M33" s="17">
        <f>M16-H16</f>
        <v/>
      </c>
      <c r="N33" s="17">
        <f>N16-I16</f>
        <v/>
      </c>
      <c r="O33" s="17">
        <f>O16-J16</f>
        <v/>
      </c>
      <c r="P33" s="17">
        <f>P16-K16</f>
        <v/>
      </c>
      <c r="Q33" s="19" t="n"/>
      <c r="R33" s="17">
        <f>R16-M16</f>
        <v/>
      </c>
      <c r="S33" s="17">
        <f>S16-N16</f>
        <v/>
      </c>
      <c r="T33" s="18">
        <f>Assumptions!$B$21</f>
        <v/>
      </c>
      <c r="U33" s="18">
        <f>T33*Assumptions!$B$8</f>
        <v/>
      </c>
      <c r="V33" s="19" t="n"/>
      <c r="W33" s="18">
        <f>U33*Assumptions!$B$8</f>
        <v/>
      </c>
      <c r="X33" s="18">
        <f>W33*Assumptions!$B$8</f>
        <v/>
      </c>
      <c r="Y33" s="18">
        <f>0</f>
        <v/>
      </c>
      <c r="Z33" s="18">
        <f>0</f>
        <v/>
      </c>
      <c r="AA33" s="19" t="n"/>
    </row>
    <row r="34">
      <c r="A34" t="inlineStr">
        <is>
          <t>costs before adj. EBITDA as a share of gross bookings change y/y</t>
        </is>
      </c>
      <c r="B34" t="inlineStr">
        <is>
          <t>fraction</t>
        </is>
      </c>
      <c r="C34" s="19" t="n"/>
      <c r="D34" s="19" t="n"/>
      <c r="E34" s="19" t="n"/>
      <c r="F34" s="19" t="n"/>
      <c r="G34" s="19" t="n"/>
      <c r="H34" s="17">
        <f>H29-C29</f>
        <v/>
      </c>
      <c r="I34" s="17">
        <f>I29-D29</f>
        <v/>
      </c>
      <c r="J34" s="17">
        <f>J29-E29</f>
        <v/>
      </c>
      <c r="K34" s="17">
        <f>K29-F29</f>
        <v/>
      </c>
      <c r="L34" s="19" t="n"/>
      <c r="M34" s="17">
        <f>M29-H29</f>
        <v/>
      </c>
      <c r="N34" s="17">
        <f>N29-I29</f>
        <v/>
      </c>
      <c r="O34" s="17">
        <f>O29-J29</f>
        <v/>
      </c>
      <c r="P34" s="17">
        <f>P29-K29</f>
        <v/>
      </c>
      <c r="Q34" s="19" t="n"/>
      <c r="R34" s="17">
        <f>R29-M29</f>
        <v/>
      </c>
      <c r="S34" s="17">
        <f>S29-N29</f>
        <v/>
      </c>
      <c r="T34" s="18">
        <f>Assumptions!$B$6</f>
        <v/>
      </c>
      <c r="U34" s="18">
        <f>T34*Assumptions!$B$8</f>
        <v/>
      </c>
      <c r="V34" s="19" t="n"/>
      <c r="W34" s="18">
        <f>U34*Assumptions!$B$8</f>
        <v/>
      </c>
      <c r="X34" s="18">
        <f>W34*Assumptions!$B$8</f>
        <v/>
      </c>
      <c r="Y34" s="18">
        <f>0</f>
        <v/>
      </c>
      <c r="Z34" s="18">
        <f>0</f>
        <v/>
      </c>
      <c r="AA34" s="19" t="n"/>
    </row>
    <row r="35">
      <c r="A35" s="2" t="inlineStr">
        <is>
          <t>Income statement</t>
        </is>
      </c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  <c r="AA35" s="3" t="n"/>
    </row>
    <row r="36">
      <c r="A36" t="inlineStr">
        <is>
          <t>adjusted EBITDA margin (on revenue)</t>
        </is>
      </c>
      <c r="B36" t="inlineStr">
        <is>
          <t>fraction</t>
        </is>
      </c>
      <c r="C36" s="17">
        <f>C46/C47</f>
        <v/>
      </c>
      <c r="D36" s="17">
        <f>D46/D47</f>
        <v/>
      </c>
      <c r="E36" s="17">
        <f>E46/E47</f>
        <v/>
      </c>
      <c r="F36" s="17">
        <f>F46/F47</f>
        <v/>
      </c>
      <c r="G36" s="17">
        <f>G46/G47</f>
        <v/>
      </c>
      <c r="H36" s="17">
        <f>H46/H47</f>
        <v/>
      </c>
      <c r="I36" s="17">
        <f>I46/I47</f>
        <v/>
      </c>
      <c r="J36" s="17">
        <f>J46/J47</f>
        <v/>
      </c>
      <c r="K36" s="17">
        <f>K46/K47</f>
        <v/>
      </c>
      <c r="L36" s="17">
        <f>L46/L47</f>
        <v/>
      </c>
      <c r="M36" s="17">
        <f>M46/M47</f>
        <v/>
      </c>
      <c r="N36" s="17">
        <f>N46/N47</f>
        <v/>
      </c>
      <c r="O36" s="17">
        <f>O46/O47</f>
        <v/>
      </c>
      <c r="P36" s="17">
        <f>P46/P47</f>
        <v/>
      </c>
      <c r="Q36" s="17">
        <f>Q46/Q47</f>
        <v/>
      </c>
      <c r="R36" s="17">
        <f>R46/R47</f>
        <v/>
      </c>
      <c r="S36" s="17">
        <f>S46/S47</f>
        <v/>
      </c>
      <c r="T36" s="18">
        <f>T46/T47</f>
        <v/>
      </c>
      <c r="U36" s="18">
        <f>U46/U47</f>
        <v/>
      </c>
      <c r="V36" s="17">
        <f>V46/V47</f>
        <v/>
      </c>
      <c r="W36" s="18">
        <f>W46/W47</f>
        <v/>
      </c>
      <c r="X36" s="18">
        <f>X46/X47</f>
        <v/>
      </c>
      <c r="Y36" s="18">
        <f>Y46/Y47</f>
        <v/>
      </c>
      <c r="Z36" s="18">
        <f>Z46/Z47</f>
        <v/>
      </c>
      <c r="AA36" s="17">
        <f>AA46/AA47</f>
        <v/>
      </c>
    </row>
    <row r="37">
      <c r="A37" t="inlineStr">
        <is>
          <t>stock-based compensation</t>
        </is>
      </c>
      <c r="B37" t="inlineStr">
        <is>
          <t>USD millions</t>
        </is>
      </c>
      <c r="C37" s="4" t="n">
        <v>470</v>
      </c>
      <c r="D37" s="4" t="n">
        <v>504</v>
      </c>
      <c r="E37" s="4" t="n">
        <v>492</v>
      </c>
      <c r="F37" s="4" t="n">
        <v>469</v>
      </c>
      <c r="G37" s="5">
        <f>SUM(C37:F37)</f>
        <v/>
      </c>
      <c r="H37" s="4" t="n">
        <v>484</v>
      </c>
      <c r="I37" s="4" t="n">
        <v>455</v>
      </c>
      <c r="J37" s="4" t="n">
        <v>438</v>
      </c>
      <c r="K37" s="4" t="n">
        <v>419</v>
      </c>
      <c r="L37" s="5">
        <f>SUM(H37:K37)</f>
        <v/>
      </c>
      <c r="M37" s="4" t="n">
        <v>435</v>
      </c>
      <c r="N37" s="4" t="n">
        <v>475</v>
      </c>
      <c r="O37" s="4" t="n">
        <v>465</v>
      </c>
      <c r="P37" s="4" t="n">
        <v>451</v>
      </c>
      <c r="Q37" s="5">
        <f>SUM(M37:P37)</f>
        <v/>
      </c>
      <c r="R37" s="4" t="n">
        <v>473</v>
      </c>
      <c r="S37" s="4" t="n">
        <v>550</v>
      </c>
      <c r="T37" s="6">
        <f>IFERROR(IF(COUNT(O37,O47)=2,O37/O47,Assumptions!$B$13),Assumptions!$B$13)*T47</f>
        <v/>
      </c>
      <c r="U37" s="6">
        <f>IFERROR(IF(COUNT(P37,P47)=2,P37/P47,Assumptions!$B$13),Assumptions!$B$13)*U47</f>
        <v/>
      </c>
      <c r="V37" s="5">
        <f>SUM(R37:U37)</f>
        <v/>
      </c>
      <c r="W37" s="6">
        <f>IFERROR(IF(COUNT(R37,R47)=2,R37/R47,Assumptions!$B$13),Assumptions!$B$13)*W47</f>
        <v/>
      </c>
      <c r="X37" s="6">
        <f>IFERROR(IF(COUNT(S37,S47)=2,S37/S47,Assumptions!$B$13),Assumptions!$B$13)*X47</f>
        <v/>
      </c>
      <c r="Y37" s="6">
        <f>IFERROR(IF(COUNT(T37,T47)=2,T37/T47,Assumptions!$B$13),Assumptions!$B$13)*Y47</f>
        <v/>
      </c>
      <c r="Z37" s="6">
        <f>IFERROR(IF(COUNT(U37,U47)=2,U37/U47,Assumptions!$B$13),Assumptions!$B$13)*Z47</f>
        <v/>
      </c>
      <c r="AA37" s="5">
        <f>SUM(W37:Z37)</f>
        <v/>
      </c>
    </row>
    <row r="38">
      <c r="A38" t="inlineStr">
        <is>
          <t>depreciation and amortization</t>
        </is>
      </c>
      <c r="B38" t="inlineStr">
        <is>
          <t>USD millions</t>
        </is>
      </c>
      <c r="C38" s="4" t="n">
        <v>207</v>
      </c>
      <c r="D38" s="4" t="n">
        <v>208</v>
      </c>
      <c r="E38" s="4" t="n">
        <v>205</v>
      </c>
      <c r="F38" s="4" t="n">
        <v>203</v>
      </c>
      <c r="G38" s="5">
        <f>SUM(C38:F38)</f>
        <v/>
      </c>
      <c r="H38" s="4" t="n">
        <v>190</v>
      </c>
      <c r="I38" s="4" t="n">
        <v>173</v>
      </c>
      <c r="J38" s="4" t="n">
        <v>179</v>
      </c>
      <c r="K38" s="4" t="n">
        <v>169</v>
      </c>
      <c r="L38" s="5">
        <f>SUM(H38:K38)</f>
        <v/>
      </c>
      <c r="M38" s="4" t="n">
        <v>171</v>
      </c>
      <c r="N38" s="4" t="n">
        <v>175</v>
      </c>
      <c r="O38" s="4" t="n">
        <v>188</v>
      </c>
      <c r="P38" s="4" t="n">
        <v>185</v>
      </c>
      <c r="Q38" s="5">
        <f>SUM(M38:P38)</f>
        <v/>
      </c>
      <c r="R38" s="4" t="n">
        <v>184</v>
      </c>
      <c r="S38" s="4" t="n">
        <v>188</v>
      </c>
      <c r="T38" s="6">
        <f>IFERROR(IF(COUNT(O38,O47)=2,O38/O47,Assumptions!$B$7),Assumptions!$B$7)*T47</f>
        <v/>
      </c>
      <c r="U38" s="6">
        <f>IFERROR(IF(COUNT(P38,P47)=2,P38/P47,Assumptions!$B$7),Assumptions!$B$7)*U47</f>
        <v/>
      </c>
      <c r="V38" s="5">
        <f>SUM(R38:U38)</f>
        <v/>
      </c>
      <c r="W38" s="6">
        <f>IFERROR(IF(COUNT(R38,R47)=2,R38/R47,Assumptions!$B$7),Assumptions!$B$7)*W47</f>
        <v/>
      </c>
      <c r="X38" s="6">
        <f>IFERROR(IF(COUNT(S38,S47)=2,S38/S47,Assumptions!$B$7),Assumptions!$B$7)*X47</f>
        <v/>
      </c>
      <c r="Y38" s="6">
        <f>IFERROR(IF(COUNT(T38,T47)=2,T38/T47,Assumptions!$B$7),Assumptions!$B$7)*Y47</f>
        <v/>
      </c>
      <c r="Z38" s="6">
        <f>IFERROR(IF(COUNT(U38,U47)=2,U38/U47,Assumptions!$B$7),Assumptions!$B$7)*Z47</f>
        <v/>
      </c>
      <c r="AA38" s="5">
        <f>SUM(W38:Z38)</f>
        <v/>
      </c>
    </row>
    <row r="39">
      <c r="A39" t="inlineStr">
        <is>
          <t>GAAP operating income</t>
        </is>
      </c>
      <c r="B39" t="inlineStr">
        <is>
          <t>USD millions</t>
        </is>
      </c>
      <c r="C39" s="4" t="n">
        <v>-262</v>
      </c>
      <c r="D39" s="4" t="n">
        <v>326</v>
      </c>
      <c r="E39" s="4" t="n">
        <v>394</v>
      </c>
      <c r="F39" s="4" t="n">
        <v>652</v>
      </c>
      <c r="G39" s="5">
        <f>SUM(C39:F39)</f>
        <v/>
      </c>
      <c r="H39" s="4" t="n">
        <v>172</v>
      </c>
      <c r="I39" s="4" t="n">
        <v>796</v>
      </c>
      <c r="J39" s="4" t="n">
        <v>1061</v>
      </c>
      <c r="K39" s="4" t="n">
        <v>770</v>
      </c>
      <c r="L39" s="5">
        <f>SUM(H39:K39)</f>
        <v/>
      </c>
      <c r="M39" s="4" t="n">
        <v>1228</v>
      </c>
      <c r="N39" s="4" t="n">
        <v>1450</v>
      </c>
      <c r="O39" s="4" t="n">
        <v>1113</v>
      </c>
      <c r="P39" s="4" t="n">
        <v>1774</v>
      </c>
      <c r="Q39" s="5">
        <f>SUM(M39:P39)</f>
        <v/>
      </c>
      <c r="R39" s="4" t="n">
        <v>1923</v>
      </c>
      <c r="S39" s="4" t="n">
        <v>1890</v>
      </c>
      <c r="T39" s="6">
        <f>(T46-T37)-T38</f>
        <v/>
      </c>
      <c r="U39" s="6">
        <f>(U46-U37)-U38</f>
        <v/>
      </c>
      <c r="V39" s="5">
        <f>SUM(R39:U39)</f>
        <v/>
      </c>
      <c r="W39" s="6">
        <f>(W46-W37)-W38</f>
        <v/>
      </c>
      <c r="X39" s="6">
        <f>(X46-X37)-X38</f>
        <v/>
      </c>
      <c r="Y39" s="6">
        <f>(Y46-Y37)-Y38</f>
        <v/>
      </c>
      <c r="Z39" s="6">
        <f>(Z46-Z37)-Z38</f>
        <v/>
      </c>
      <c r="AA39" s="5">
        <f>SUM(W39:Z39)</f>
        <v/>
      </c>
    </row>
    <row r="40">
      <c r="A40" t="inlineStr">
        <is>
          <t>other adjustments (adj. EBITDA bridge to operating income)</t>
        </is>
      </c>
      <c r="B40" t="inlineStr">
        <is>
          <t>USD millions</t>
        </is>
      </c>
      <c r="C40" s="5">
        <f>((C46-C37)-C38)-C39</f>
        <v/>
      </c>
      <c r="D40" s="5">
        <f>((D46-D37)-D38)-D39</f>
        <v/>
      </c>
      <c r="E40" s="5">
        <f>((E46-E37)-E38)-E39</f>
        <v/>
      </c>
      <c r="F40" s="5">
        <f>((F46-F37)-F38)-F39</f>
        <v/>
      </c>
      <c r="G40" s="5">
        <f>SUM(C40:F40)</f>
        <v/>
      </c>
      <c r="H40" s="5">
        <f>((H46-H37)-H38)-H39</f>
        <v/>
      </c>
      <c r="I40" s="5">
        <f>((I46-I37)-I38)-I39</f>
        <v/>
      </c>
      <c r="J40" s="5">
        <f>((J46-J37)-J38)-J39</f>
        <v/>
      </c>
      <c r="K40" s="5">
        <f>((K46-K37)-K38)-K39</f>
        <v/>
      </c>
      <c r="L40" s="5">
        <f>SUM(H40:K40)</f>
        <v/>
      </c>
      <c r="M40" s="5">
        <f>((M46-M37)-M38)-M39</f>
        <v/>
      </c>
      <c r="N40" s="5">
        <f>((N46-N37)-N38)-N39</f>
        <v/>
      </c>
      <c r="O40" s="5">
        <f>((O46-O37)-O38)-O39</f>
        <v/>
      </c>
      <c r="P40" s="5">
        <f>((P46-P37)-P38)-P39</f>
        <v/>
      </c>
      <c r="Q40" s="5">
        <f>SUM(M40:P40)</f>
        <v/>
      </c>
      <c r="R40" s="5">
        <f>((R46-R37)-R38)-R39</f>
        <v/>
      </c>
      <c r="S40" s="5">
        <f>((S46-S37)-S38)-S39</f>
        <v/>
      </c>
      <c r="T40" s="6">
        <f>((T46-T37)-T38)-T39</f>
        <v/>
      </c>
      <c r="U40" s="6">
        <f>((U46-U37)-U38)-U39</f>
        <v/>
      </c>
      <c r="V40" s="5">
        <f>SUM(R40:U40)</f>
        <v/>
      </c>
      <c r="W40" s="6">
        <f>((W46-W37)-W38)-W39</f>
        <v/>
      </c>
      <c r="X40" s="6">
        <f>((X46-X37)-X38)-X39</f>
        <v/>
      </c>
      <c r="Y40" s="6">
        <f>((Y46-Y37)-Y38)-Y39</f>
        <v/>
      </c>
      <c r="Z40" s="6">
        <f>((Z46-Z37)-Z38)-Z39</f>
        <v/>
      </c>
      <c r="AA40" s="5">
        <f>SUM(W40:Z40)</f>
        <v/>
      </c>
    </row>
    <row r="41">
      <c r="A41" t="inlineStr">
        <is>
          <t>income tax</t>
        </is>
      </c>
      <c r="B41" t="inlineStr">
        <is>
          <t>USD millions</t>
        </is>
      </c>
      <c r="C41" s="4" t="n">
        <v>55</v>
      </c>
      <c r="D41" s="4" t="n">
        <v>65</v>
      </c>
      <c r="E41" s="4" t="n">
        <v>-40</v>
      </c>
      <c r="F41" s="4" t="n">
        <v>133</v>
      </c>
      <c r="G41" s="5">
        <f>SUM(C41:F41)</f>
        <v/>
      </c>
      <c r="H41" s="4" t="n">
        <v>29</v>
      </c>
      <c r="I41" s="4" t="n">
        <v>57</v>
      </c>
      <c r="J41" s="4" t="n">
        <v>158</v>
      </c>
      <c r="K41" s="4" t="n">
        <v>-6002</v>
      </c>
      <c r="L41" s="5">
        <f>SUM(H41:K41)</f>
        <v/>
      </c>
      <c r="M41" s="4" t="n">
        <v>-402</v>
      </c>
      <c r="N41" s="4" t="n">
        <v>142</v>
      </c>
      <c r="O41" s="4" t="n">
        <v>-4046</v>
      </c>
      <c r="P41" s="4" t="n">
        <v>-40</v>
      </c>
      <c r="Q41" s="5">
        <f>SUM(M41:P41)</f>
        <v/>
      </c>
      <c r="R41" s="4" t="n">
        <v>194</v>
      </c>
      <c r="S41" s="4" t="n">
        <v>840</v>
      </c>
      <c r="T41" s="6">
        <f>MAX(T39,0)*Assumptions!$B$25</f>
        <v/>
      </c>
      <c r="U41" s="6">
        <f>MAX(U39,0)*Assumptions!$B$25</f>
        <v/>
      </c>
      <c r="V41" s="5">
        <f>SUM(R41:U41)</f>
        <v/>
      </c>
      <c r="W41" s="6">
        <f>MAX(W39,0)*Assumptions!$B$25</f>
        <v/>
      </c>
      <c r="X41" s="6">
        <f>MAX(X39,0)*Assumptions!$B$25</f>
        <v/>
      </c>
      <c r="Y41" s="6">
        <f>MAX(Y39,0)*Assumptions!$B$25</f>
        <v/>
      </c>
      <c r="Z41" s="6">
        <f>MAX(Z39,0)*Assumptions!$B$25</f>
        <v/>
      </c>
      <c r="AA41" s="5">
        <f>SUM(W41:Z41)</f>
        <v/>
      </c>
    </row>
    <row r="42">
      <c r="A42" t="inlineStr">
        <is>
          <t>net income</t>
        </is>
      </c>
      <c r="B42" t="inlineStr">
        <is>
          <t>USD millions</t>
        </is>
      </c>
      <c r="C42" s="4" t="n">
        <v>-157</v>
      </c>
      <c r="D42" s="4" t="n">
        <v>394</v>
      </c>
      <c r="E42" s="4" t="n">
        <v>221</v>
      </c>
      <c r="F42" s="4" t="n">
        <v>1429</v>
      </c>
      <c r="G42" s="5">
        <f>SUM(C42:F42)</f>
        <v/>
      </c>
      <c r="H42" s="4" t="n">
        <v>-654</v>
      </c>
      <c r="I42" s="4" t="n">
        <v>1015</v>
      </c>
      <c r="J42" s="4" t="n">
        <v>2612</v>
      </c>
      <c r="K42" s="4" t="n">
        <v>6883</v>
      </c>
      <c r="L42" s="5">
        <f>SUM(H42:K42)</f>
        <v/>
      </c>
      <c r="M42" s="4" t="n">
        <v>1776</v>
      </c>
      <c r="N42" s="4" t="n">
        <v>1355</v>
      </c>
      <c r="O42" s="4" t="n">
        <v>6626</v>
      </c>
      <c r="P42" s="4" t="n">
        <v>296</v>
      </c>
      <c r="Q42" s="5">
        <f>SUM(M42:P42)</f>
        <v/>
      </c>
      <c r="R42" s="4" t="n">
        <v>263</v>
      </c>
      <c r="S42" s="4" t="n">
        <v>2394</v>
      </c>
      <c r="T42" s="6">
        <f>T39-T41</f>
        <v/>
      </c>
      <c r="U42" s="6">
        <f>U39-U41</f>
        <v/>
      </c>
      <c r="V42" s="5">
        <f>SUM(R42:U42)</f>
        <v/>
      </c>
      <c r="W42" s="6">
        <f>W39-W41</f>
        <v/>
      </c>
      <c r="X42" s="6">
        <f>X39-X41</f>
        <v/>
      </c>
      <c r="Y42" s="6">
        <f>Y39-Y41</f>
        <v/>
      </c>
      <c r="Z42" s="6">
        <f>Z39-Z41</f>
        <v/>
      </c>
      <c r="AA42" s="5">
        <f>SUM(W42:Z42)</f>
        <v/>
      </c>
    </row>
    <row r="43">
      <c r="A43" t="inlineStr">
        <is>
          <t>effective tax rate</t>
        </is>
      </c>
      <c r="B43" t="inlineStr">
        <is>
          <t>fraction</t>
        </is>
      </c>
      <c r="C43" s="17">
        <f>C41/(C42+C41)</f>
        <v/>
      </c>
      <c r="D43" s="17">
        <f>D41/(D42+D41)</f>
        <v/>
      </c>
      <c r="E43" s="17">
        <f>E41/(E42+E41)</f>
        <v/>
      </c>
      <c r="F43" s="17">
        <f>F41/(F42+F41)</f>
        <v/>
      </c>
      <c r="G43" s="17">
        <f>G41/(G42+G41)</f>
        <v/>
      </c>
      <c r="H43" s="17">
        <f>H41/(H42+H41)</f>
        <v/>
      </c>
      <c r="I43" s="17">
        <f>I41/(I42+I41)</f>
        <v/>
      </c>
      <c r="J43" s="17">
        <f>J41/(J42+J41)</f>
        <v/>
      </c>
      <c r="K43" s="17">
        <f>K41/(K42+K41)</f>
        <v/>
      </c>
      <c r="L43" s="17">
        <f>L41/(L42+L41)</f>
        <v/>
      </c>
      <c r="M43" s="17">
        <f>M41/(M42+M41)</f>
        <v/>
      </c>
      <c r="N43" s="17">
        <f>N41/(N42+N41)</f>
        <v/>
      </c>
      <c r="O43" s="17">
        <f>O41/(O42+O41)</f>
        <v/>
      </c>
      <c r="P43" s="17">
        <f>P41/(P42+P41)</f>
        <v/>
      </c>
      <c r="Q43" s="17">
        <f>Q41/(Q42+Q41)</f>
        <v/>
      </c>
      <c r="R43" s="17">
        <f>R41/(R42+R41)</f>
        <v/>
      </c>
      <c r="S43" s="17">
        <f>S41/(S42+S41)</f>
        <v/>
      </c>
      <c r="T43" s="18">
        <f>T41/(T42+T41)</f>
        <v/>
      </c>
      <c r="U43" s="18">
        <f>U41/(U42+U41)</f>
        <v/>
      </c>
      <c r="V43" s="17">
        <f>V41/(V42+V41)</f>
        <v/>
      </c>
      <c r="W43" s="18">
        <f>W41/(W42+W41)</f>
        <v/>
      </c>
      <c r="X43" s="18">
        <f>X41/(X42+X41)</f>
        <v/>
      </c>
      <c r="Y43" s="18">
        <f>Y41/(Y42+Y41)</f>
        <v/>
      </c>
      <c r="Z43" s="18">
        <f>Z41/(Z42+Z41)</f>
        <v/>
      </c>
      <c r="AA43" s="17">
        <f>AA41/(AA42+AA41)</f>
        <v/>
      </c>
    </row>
    <row r="44">
      <c r="A44" t="inlineStr">
        <is>
          <t>diluted weighted-average shares</t>
        </is>
      </c>
      <c r="B44" t="inlineStr">
        <is>
          <t>count millions</t>
        </is>
      </c>
      <c r="C44" s="4" t="n">
        <v>2009.557</v>
      </c>
      <c r="D44" s="4" t="n">
        <v>2079.265</v>
      </c>
      <c r="E44" s="4" t="n">
        <v>2108.479</v>
      </c>
      <c r="F44" s="7" t="n"/>
      <c r="G44" s="4" t="n">
        <v>2091.782</v>
      </c>
      <c r="H44" s="4" t="n">
        <v>2080.168</v>
      </c>
      <c r="I44" s="4" t="n">
        <v>2150.019</v>
      </c>
      <c r="J44" s="4" t="n">
        <v>2154.466</v>
      </c>
      <c r="K44" s="7" t="n"/>
      <c r="L44" s="4" t="n">
        <v>2150.508</v>
      </c>
      <c r="M44" s="4" t="n">
        <v>2122.618</v>
      </c>
      <c r="N44" s="4" t="n">
        <v>2125.628</v>
      </c>
      <c r="O44" s="4" t="n">
        <v>2124.391</v>
      </c>
      <c r="P44" s="7" t="n"/>
      <c r="Q44" s="4" t="n">
        <v>2119.689</v>
      </c>
      <c r="R44" s="4" t="n">
        <v>2071.391</v>
      </c>
      <c r="S44" s="4" t="n">
        <v>2050.225</v>
      </c>
      <c r="T44" s="6">
        <f>Assumptions!$B$15*(1+Assumptions!$B$14)</f>
        <v/>
      </c>
      <c r="U44" s="6">
        <f>T44*(1+Assumptions!$B$14)</f>
        <v/>
      </c>
      <c r="V44" s="5">
        <f>SUM(R44:U44)/4</f>
        <v/>
      </c>
      <c r="W44" s="6">
        <f>U44*(1+Assumptions!$B$14)</f>
        <v/>
      </c>
      <c r="X44" s="6">
        <f>W44*(1+Assumptions!$B$14)</f>
        <v/>
      </c>
      <c r="Y44" s="6">
        <f>X44*(1+Assumptions!$B$14)</f>
        <v/>
      </c>
      <c r="Z44" s="6">
        <f>Y44*(1+Assumptions!$B$14)</f>
        <v/>
      </c>
      <c r="AA44" s="5">
        <f>SUM(W44:Z44)/4</f>
        <v/>
      </c>
    </row>
    <row r="45">
      <c r="A45" t="inlineStr">
        <is>
          <t>diluted EPS (Q4 from the release)</t>
        </is>
      </c>
      <c r="B45" t="inlineStr">
        <is>
          <t>USD per share</t>
        </is>
      </c>
      <c r="C45" s="13" t="n">
        <v>-0.08</v>
      </c>
      <c r="D45" s="13" t="n">
        <v>0.18</v>
      </c>
      <c r="E45" s="13" t="n">
        <v>0.1</v>
      </c>
      <c r="F45" s="13" t="n">
        <v>0.66</v>
      </c>
      <c r="G45" s="13" t="n">
        <v>0.87</v>
      </c>
      <c r="H45" s="13" t="n">
        <v>-0.32</v>
      </c>
      <c r="I45" s="13" t="n">
        <v>0.47</v>
      </c>
      <c r="J45" s="13" t="n">
        <v>1.2</v>
      </c>
      <c r="K45" s="13" t="n">
        <v>3.21</v>
      </c>
      <c r="L45" s="13" t="n">
        <v>4.56</v>
      </c>
      <c r="M45" s="13" t="n">
        <v>0.83</v>
      </c>
      <c r="N45" s="13" t="n">
        <v>0.63</v>
      </c>
      <c r="O45" s="13" t="n">
        <v>3.11</v>
      </c>
      <c r="P45" s="13" t="n">
        <v>0.14</v>
      </c>
      <c r="Q45" s="13" t="n">
        <v>4.73</v>
      </c>
      <c r="R45" s="13" t="n">
        <v>0.13</v>
      </c>
      <c r="S45" s="13" t="n">
        <v>1.17</v>
      </c>
      <c r="T45" s="14">
        <f>T42/T44</f>
        <v/>
      </c>
      <c r="U45" s="14">
        <f>U42/U44</f>
        <v/>
      </c>
      <c r="V45" s="15">
        <f>SUM(R42:U42)/(SUM(R44:U44)/4)</f>
        <v/>
      </c>
      <c r="W45" s="14">
        <f>W42/W44</f>
        <v/>
      </c>
      <c r="X45" s="14">
        <f>X42/X44</f>
        <v/>
      </c>
      <c r="Y45" s="14">
        <f>Y42/Y44</f>
        <v/>
      </c>
      <c r="Z45" s="14">
        <f>Z42/Z44</f>
        <v/>
      </c>
      <c r="AA45" s="15">
        <f>SUM(W42:Z42)/(SUM(W44:Z44)/4)</f>
        <v/>
      </c>
    </row>
    <row r="46">
      <c r="A46" t="inlineStr">
        <is>
          <t>adjusted EBITDA</t>
        </is>
      </c>
      <c r="B46" t="inlineStr">
        <is>
          <t>USD millions</t>
        </is>
      </c>
      <c r="C46" s="4" t="n">
        <v>761</v>
      </c>
      <c r="D46" s="4" t="n">
        <v>916</v>
      </c>
      <c r="E46" s="4" t="n">
        <v>1092</v>
      </c>
      <c r="F46" s="4" t="n">
        <v>1283</v>
      </c>
      <c r="G46" s="5">
        <f>SUM(C46:F46)</f>
        <v/>
      </c>
      <c r="H46" s="4" t="n">
        <v>1382</v>
      </c>
      <c r="I46" s="4" t="n">
        <v>1570</v>
      </c>
      <c r="J46" s="4" t="n">
        <v>1690</v>
      </c>
      <c r="K46" s="4" t="n">
        <v>1842</v>
      </c>
      <c r="L46" s="5">
        <f>SUM(H46:K46)</f>
        <v/>
      </c>
      <c r="M46" s="4" t="n">
        <v>1868</v>
      </c>
      <c r="N46" s="4" t="n">
        <v>2119</v>
      </c>
      <c r="O46" s="4" t="n">
        <v>2256</v>
      </c>
      <c r="P46" s="4" t="n">
        <v>2487</v>
      </c>
      <c r="Q46" s="5">
        <f>SUM(M46:P46)</f>
        <v/>
      </c>
      <c r="R46" s="4" t="n">
        <v>2481</v>
      </c>
      <c r="S46" s="4" t="n">
        <v>2819</v>
      </c>
      <c r="T46" s="6">
        <f>T47-(T29*T9)</f>
        <v/>
      </c>
      <c r="U46" s="6">
        <f>U47-(U29*U9)</f>
        <v/>
      </c>
      <c r="V46" s="5">
        <f>SUM(R46:U46)</f>
        <v/>
      </c>
      <c r="W46" s="6">
        <f>W47-(W29*W9)</f>
        <v/>
      </c>
      <c r="X46" s="6">
        <f>X47-(X29*X9)</f>
        <v/>
      </c>
      <c r="Y46" s="6">
        <f>Y47-(Y29*Y9)</f>
        <v/>
      </c>
      <c r="Z46" s="6">
        <f>Z47-(Z29*Z9)</f>
        <v/>
      </c>
      <c r="AA46" s="5">
        <f>SUM(W46:Z46)</f>
        <v/>
      </c>
    </row>
    <row r="47">
      <c r="A47" t="inlineStr">
        <is>
          <t>revenue</t>
        </is>
      </c>
      <c r="B47" t="inlineStr">
        <is>
          <t>USD millions</t>
        </is>
      </c>
      <c r="C47" s="4" t="n">
        <v>8823</v>
      </c>
      <c r="D47" s="4" t="n">
        <v>9230</v>
      </c>
      <c r="E47" s="4" t="n">
        <v>9292</v>
      </c>
      <c r="F47" s="4" t="n">
        <v>9936</v>
      </c>
      <c r="G47" s="5">
        <f>SUM(C47:F47)</f>
        <v/>
      </c>
      <c r="H47" s="4" t="n">
        <v>10131</v>
      </c>
      <c r="I47" s="4" t="n">
        <v>10700</v>
      </c>
      <c r="J47" s="4" t="n">
        <v>11188</v>
      </c>
      <c r="K47" s="4" t="n">
        <v>11959</v>
      </c>
      <c r="L47" s="5">
        <f>SUM(H47:K47)</f>
        <v/>
      </c>
      <c r="M47" s="4" t="n">
        <v>11533</v>
      </c>
      <c r="N47" s="4" t="n">
        <v>12651</v>
      </c>
      <c r="O47" s="4" t="n">
        <v>13467</v>
      </c>
      <c r="P47" s="4" t="n">
        <v>14366</v>
      </c>
      <c r="Q47" s="5">
        <f>SUM(M47:P47)</f>
        <v/>
      </c>
      <c r="R47" s="4" t="n">
        <v>13203</v>
      </c>
      <c r="S47" s="4" t="n">
        <v>14191</v>
      </c>
      <c r="T47" s="6">
        <f>(T11+T12)+T13</f>
        <v/>
      </c>
      <c r="U47" s="6">
        <f>(U11+U12)+U13</f>
        <v/>
      </c>
      <c r="V47" s="5">
        <f>SUM(R47:U47)</f>
        <v/>
      </c>
      <c r="W47" s="6">
        <f>(W11+W12)+W13</f>
        <v/>
      </c>
      <c r="X47" s="6">
        <f>(X11+X12)+X13</f>
        <v/>
      </c>
      <c r="Y47" s="6">
        <f>(Y11+Y12)+Y13</f>
        <v/>
      </c>
      <c r="Z47" s="6">
        <f>(Z11+Z12)+Z13</f>
        <v/>
      </c>
      <c r="AA47" s="5">
        <f>SUM(W47:Z47)</f>
        <v/>
      </c>
    </row>
    <row r="48">
      <c r="A48" s="2" t="inlineStr">
        <is>
          <t>Cash flow</t>
        </is>
      </c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  <c r="AA48" s="3" t="n"/>
    </row>
    <row r="49">
      <c r="A49" t="inlineStr">
        <is>
          <t>operating cash flow</t>
        </is>
      </c>
      <c r="B49" t="inlineStr">
        <is>
          <t>USD millions</t>
        </is>
      </c>
      <c r="C49" s="4" t="n">
        <v>606</v>
      </c>
      <c r="D49" s="4" t="n">
        <v>1190</v>
      </c>
      <c r="E49" s="4" t="n">
        <v>966</v>
      </c>
      <c r="F49" s="4" t="n">
        <v>823</v>
      </c>
      <c r="G49" s="5">
        <f>SUM(C49:F49)</f>
        <v/>
      </c>
      <c r="H49" s="4" t="n">
        <v>1416</v>
      </c>
      <c r="I49" s="4" t="n">
        <v>1820</v>
      </c>
      <c r="J49" s="4" t="n">
        <v>2151</v>
      </c>
      <c r="K49" s="4" t="n">
        <v>1750</v>
      </c>
      <c r="L49" s="5">
        <f>SUM(H49:K49)</f>
        <v/>
      </c>
      <c r="M49" s="4" t="n">
        <v>2324</v>
      </c>
      <c r="N49" s="4" t="n">
        <v>2564</v>
      </c>
      <c r="O49" s="4" t="n">
        <v>2328</v>
      </c>
      <c r="P49" s="4" t="n">
        <v>2883</v>
      </c>
      <c r="Q49" s="5">
        <f>SUM(M49:P49)</f>
        <v/>
      </c>
      <c r="R49" s="4" t="n">
        <v>2351</v>
      </c>
      <c r="S49" s="4" t="n">
        <v>2862</v>
      </c>
      <c r="T49" s="6">
        <f>(T42+T38)+T37</f>
        <v/>
      </c>
      <c r="U49" s="6">
        <f>(U42+U38)+U37</f>
        <v/>
      </c>
      <c r="V49" s="5">
        <f>SUM(R49:U49)</f>
        <v/>
      </c>
      <c r="W49" s="6">
        <f>(W42+W38)+W37</f>
        <v/>
      </c>
      <c r="X49" s="6">
        <f>(X42+X38)+X37</f>
        <v/>
      </c>
      <c r="Y49" s="6">
        <f>(Y42+Y38)+Y37</f>
        <v/>
      </c>
      <c r="Z49" s="6">
        <f>(Z42+Z38)+Z37</f>
        <v/>
      </c>
      <c r="AA49" s="5">
        <f>SUM(W49:Z49)</f>
        <v/>
      </c>
    </row>
    <row r="50">
      <c r="A50" t="inlineStr">
        <is>
          <t>capital expenditures</t>
        </is>
      </c>
      <c r="B50" t="inlineStr">
        <is>
          <t>USD millions</t>
        </is>
      </c>
      <c r="C50" s="4" t="n">
        <v>57</v>
      </c>
      <c r="D50" s="4" t="n">
        <v>50</v>
      </c>
      <c r="E50" s="4" t="n">
        <v>61</v>
      </c>
      <c r="F50" s="4" t="n">
        <v>55</v>
      </c>
      <c r="G50" s="5">
        <f>SUM(C50:F50)</f>
        <v/>
      </c>
      <c r="H50" s="4" t="n">
        <v>57</v>
      </c>
      <c r="I50" s="4" t="n">
        <v>99</v>
      </c>
      <c r="J50" s="4" t="n">
        <v>42</v>
      </c>
      <c r="K50" s="4" t="n">
        <v>44</v>
      </c>
      <c r="L50" s="5">
        <f>SUM(H50:K50)</f>
        <v/>
      </c>
      <c r="M50" s="4" t="n">
        <v>74</v>
      </c>
      <c r="N50" s="4" t="n">
        <v>89</v>
      </c>
      <c r="O50" s="4" t="n">
        <v>98</v>
      </c>
      <c r="P50" s="4" t="n">
        <v>75</v>
      </c>
      <c r="Q50" s="5">
        <f>SUM(M50:P50)</f>
        <v/>
      </c>
      <c r="R50" s="4" t="n">
        <v>65</v>
      </c>
      <c r="S50" s="4" t="n">
        <v>70</v>
      </c>
      <c r="T50" s="6">
        <f>IFERROR(IF(COUNT(O50,O47)=2,O50/O47,Assumptions!$B$3),Assumptions!$B$3)*T47</f>
        <v/>
      </c>
      <c r="U50" s="6">
        <f>IFERROR(IF(COUNT(P50,P47)=2,P50/P47,Assumptions!$B$3),Assumptions!$B$3)*U47</f>
        <v/>
      </c>
      <c r="V50" s="5">
        <f>SUM(R50:U50)</f>
        <v/>
      </c>
      <c r="W50" s="6">
        <f>IFERROR(IF(COUNT(R50,R47)=2,R50/R47,Assumptions!$B$3),Assumptions!$B$3)*W47</f>
        <v/>
      </c>
      <c r="X50" s="6">
        <f>IFERROR(IF(COUNT(S50,S47)=2,S50/S47,Assumptions!$B$3),Assumptions!$B$3)*X47</f>
        <v/>
      </c>
      <c r="Y50" s="6">
        <f>IFERROR(IF(COUNT(T50,T47)=2,T50/T47,Assumptions!$B$3),Assumptions!$B$3)*Y47</f>
        <v/>
      </c>
      <c r="Z50" s="6">
        <f>IFERROR(IF(COUNT(U50,U47)=2,U50/U47,Assumptions!$B$3),Assumptions!$B$3)*Z47</f>
        <v/>
      </c>
      <c r="AA50" s="5">
        <f>SUM(W50:Z50)</f>
        <v/>
      </c>
    </row>
    <row r="51">
      <c r="A51" t="inlineStr">
        <is>
          <t>free cash flow</t>
        </is>
      </c>
      <c r="B51" t="inlineStr">
        <is>
          <t>USD millions</t>
        </is>
      </c>
      <c r="C51" s="5">
        <f>C49-C50</f>
        <v/>
      </c>
      <c r="D51" s="5">
        <f>D49-D50</f>
        <v/>
      </c>
      <c r="E51" s="5">
        <f>E49-E50</f>
        <v/>
      </c>
      <c r="F51" s="5">
        <f>F49-F50</f>
        <v/>
      </c>
      <c r="G51" s="5">
        <f>SUM(C51:F51)</f>
        <v/>
      </c>
      <c r="H51" s="5">
        <f>H49-H50</f>
        <v/>
      </c>
      <c r="I51" s="5">
        <f>I49-I50</f>
        <v/>
      </c>
      <c r="J51" s="5">
        <f>J49-J50</f>
        <v/>
      </c>
      <c r="K51" s="5">
        <f>K49-K50</f>
        <v/>
      </c>
      <c r="L51" s="5">
        <f>SUM(H51:K51)</f>
        <v/>
      </c>
      <c r="M51" s="5">
        <f>M49-M50</f>
        <v/>
      </c>
      <c r="N51" s="5">
        <f>N49-N50</f>
        <v/>
      </c>
      <c r="O51" s="5">
        <f>O49-O50</f>
        <v/>
      </c>
      <c r="P51" s="5">
        <f>P49-P50</f>
        <v/>
      </c>
      <c r="Q51" s="5">
        <f>SUM(M51:P51)</f>
        <v/>
      </c>
      <c r="R51" s="5">
        <f>R49-R50</f>
        <v/>
      </c>
      <c r="S51" s="5">
        <f>S49-S50</f>
        <v/>
      </c>
      <c r="T51" s="6">
        <f>T49-T50</f>
        <v/>
      </c>
      <c r="U51" s="6">
        <f>U49-U50</f>
        <v/>
      </c>
      <c r="V51" s="5">
        <f>SUM(R51:U51)</f>
        <v/>
      </c>
      <c r="W51" s="6">
        <f>W49-W50</f>
        <v/>
      </c>
      <c r="X51" s="6">
        <f>X49-X50</f>
        <v/>
      </c>
      <c r="Y51" s="6">
        <f>Y49-Y50</f>
        <v/>
      </c>
      <c r="Z51" s="6">
        <f>Z49-Z50</f>
        <v/>
      </c>
      <c r="AA51" s="5">
        <f>SUM(W51:Z51)</f>
        <v/>
      </c>
    </row>
    <row r="52">
      <c r="A52" t="inlineStr">
        <is>
          <t>share repurchases</t>
        </is>
      </c>
      <c r="B52" t="inlineStr">
        <is>
          <t>USD millions</t>
        </is>
      </c>
      <c r="C52" s="7" t="n"/>
      <c r="D52" s="7" t="n"/>
      <c r="E52" s="4" t="n">
        <v>0</v>
      </c>
      <c r="F52" s="4" t="n">
        <v>0</v>
      </c>
      <c r="G52" s="7" t="n"/>
      <c r="H52" s="4" t="n">
        <v>0</v>
      </c>
      <c r="I52" s="4" t="n">
        <v>325</v>
      </c>
      <c r="J52" s="4" t="n">
        <v>372</v>
      </c>
      <c r="K52" s="4" t="n">
        <v>555</v>
      </c>
      <c r="L52" s="5">
        <f>SUM(H52:K52)</f>
        <v/>
      </c>
      <c r="M52" s="4" t="n">
        <v>1785</v>
      </c>
      <c r="N52" s="4" t="n">
        <v>1363</v>
      </c>
      <c r="O52" s="4" t="n">
        <v>1463</v>
      </c>
      <c r="P52" s="4" t="n">
        <v>1912</v>
      </c>
      <c r="Q52" s="5">
        <f>SUM(M52:P52)</f>
        <v/>
      </c>
      <c r="R52" s="4" t="n">
        <v>3011</v>
      </c>
      <c r="S52" s="4" t="n">
        <v>518</v>
      </c>
      <c r="T52" s="6">
        <f>Assumptions!$B$2</f>
        <v/>
      </c>
      <c r="U52" s="6">
        <f>Assumptions!$B$2</f>
        <v/>
      </c>
      <c r="V52" s="5">
        <f>SUM(R52:U52)</f>
        <v/>
      </c>
      <c r="W52" s="6">
        <f>Assumptions!$B$2</f>
        <v/>
      </c>
      <c r="X52" s="6">
        <f>Assumptions!$B$2</f>
        <v/>
      </c>
      <c r="Y52" s="6">
        <f>Assumptions!$B$2</f>
        <v/>
      </c>
      <c r="Z52" s="6">
        <f>Assumptions!$B$2</f>
        <v/>
      </c>
      <c r="AA52" s="5">
        <f>SUM(W52:Z52)</f>
        <v/>
      </c>
    </row>
    <row r="53">
      <c r="A53" s="2" t="inlineStr">
        <is>
          <t>Balance sheet</t>
        </is>
      </c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  <c r="AA53" s="3" t="n"/>
    </row>
    <row r="54">
      <c r="A54" t="inlineStr">
        <is>
          <t>cash and cash equivalents</t>
        </is>
      </c>
      <c r="B54" t="inlineStr">
        <is>
          <t>USD millions</t>
        </is>
      </c>
      <c r="C54" s="4" t="n">
        <v>4045</v>
      </c>
      <c r="D54" s="4" t="n">
        <v>4995</v>
      </c>
      <c r="E54" s="4" t="n">
        <v>4448</v>
      </c>
      <c r="F54" s="4" t="n">
        <v>4680</v>
      </c>
      <c r="G54" s="5">
        <f>F54</f>
        <v/>
      </c>
      <c r="H54" s="4" t="n">
        <v>5019</v>
      </c>
      <c r="I54" s="4" t="n">
        <v>4497</v>
      </c>
      <c r="J54" s="4" t="n">
        <v>6150</v>
      </c>
      <c r="K54" s="4" t="n">
        <v>5893</v>
      </c>
      <c r="L54" s="5">
        <f>K54</f>
        <v/>
      </c>
      <c r="M54" s="4" t="n">
        <v>5132</v>
      </c>
      <c r="N54" s="4" t="n">
        <v>6438</v>
      </c>
      <c r="O54" s="4" t="n">
        <v>8432</v>
      </c>
      <c r="P54" s="4" t="n">
        <v>7105</v>
      </c>
      <c r="Q54" s="5">
        <f>P54</f>
        <v/>
      </c>
      <c r="R54" s="4" t="n">
        <v>5558</v>
      </c>
      <c r="S54" s="4" t="n">
        <v>4870</v>
      </c>
      <c r="T54" s="6">
        <f>(S54+T51)-T52</f>
        <v/>
      </c>
      <c r="U54" s="6">
        <f>(T54+U51)-U52</f>
        <v/>
      </c>
      <c r="V54" s="5">
        <f>U54</f>
        <v/>
      </c>
      <c r="W54" s="6">
        <f>(U54+W51)-W52</f>
        <v/>
      </c>
      <c r="X54" s="6">
        <f>(W54+X51)-X52</f>
        <v/>
      </c>
      <c r="Y54" s="6">
        <f>(X54+Y51)-Y52</f>
        <v/>
      </c>
      <c r="Z54" s="6">
        <f>(Y54+Z51)-Z52</f>
        <v/>
      </c>
      <c r="AA54" s="5">
        <f>Z54</f>
        <v/>
      </c>
    </row>
    <row r="55">
      <c r="A55" t="inlineStr">
        <is>
          <t>other assets</t>
        </is>
      </c>
      <c r="B55" t="inlineStr">
        <is>
          <t>USD millions</t>
        </is>
      </c>
      <c r="C55" s="5">
        <f>C56-C54</f>
        <v/>
      </c>
      <c r="D55" s="5">
        <f>D56-D54</f>
        <v/>
      </c>
      <c r="E55" s="5">
        <f>E56-E54</f>
        <v/>
      </c>
      <c r="F55" s="5">
        <f>F56-F54</f>
        <v/>
      </c>
      <c r="G55" s="5">
        <f>F55</f>
        <v/>
      </c>
      <c r="H55" s="5">
        <f>H56-H54</f>
        <v/>
      </c>
      <c r="I55" s="5">
        <f>I56-I54</f>
        <v/>
      </c>
      <c r="J55" s="5">
        <f>J56-J54</f>
        <v/>
      </c>
      <c r="K55" s="5">
        <f>K56-K54</f>
        <v/>
      </c>
      <c r="L55" s="5">
        <f>K55</f>
        <v/>
      </c>
      <c r="M55" s="5">
        <f>M56-M54</f>
        <v/>
      </c>
      <c r="N55" s="5">
        <f>N56-N54</f>
        <v/>
      </c>
      <c r="O55" s="5">
        <f>O56-O54</f>
        <v/>
      </c>
      <c r="P55" s="5">
        <f>P56-P54</f>
        <v/>
      </c>
      <c r="Q55" s="5">
        <f>P55</f>
        <v/>
      </c>
      <c r="R55" s="5">
        <f>R56-R54</f>
        <v/>
      </c>
      <c r="S55" s="5">
        <f>S56-S54</f>
        <v/>
      </c>
      <c r="T55" s="7" t="n"/>
      <c r="U55" s="7" t="n"/>
      <c r="V55" s="7" t="n"/>
      <c r="W55" s="7" t="n"/>
      <c r="X55" s="7" t="n"/>
      <c r="Y55" s="7" t="n"/>
      <c r="Z55" s="7" t="n"/>
      <c r="AA55" s="7" t="n"/>
    </row>
    <row r="56">
      <c r="A56" t="inlineStr">
        <is>
          <t>total assets</t>
        </is>
      </c>
      <c r="B56" t="inlineStr">
        <is>
          <t>USD millions</t>
        </is>
      </c>
      <c r="C56" s="4" t="n">
        <v>32451</v>
      </c>
      <c r="D56" s="4" t="n">
        <v>34068</v>
      </c>
      <c r="E56" s="4" t="n">
        <v>35949</v>
      </c>
      <c r="F56" s="4" t="n">
        <v>38699</v>
      </c>
      <c r="G56" s="5">
        <f>F56</f>
        <v/>
      </c>
      <c r="H56" s="4" t="n">
        <v>39599</v>
      </c>
      <c r="I56" s="4" t="n">
        <v>41514</v>
      </c>
      <c r="J56" s="4" t="n">
        <v>47117</v>
      </c>
      <c r="K56" s="4" t="n">
        <v>51244</v>
      </c>
      <c r="L56" s="5">
        <f>K56</f>
        <v/>
      </c>
      <c r="M56" s="4" t="n">
        <v>52822</v>
      </c>
      <c r="N56" s="4" t="n">
        <v>55982</v>
      </c>
      <c r="O56" s="4" t="n">
        <v>63344</v>
      </c>
      <c r="P56" s="4" t="n">
        <v>61802</v>
      </c>
      <c r="Q56" s="5">
        <f>P56</f>
        <v/>
      </c>
      <c r="R56" s="4" t="n">
        <v>59885</v>
      </c>
      <c r="S56" s="4" t="n">
        <v>65801</v>
      </c>
      <c r="T56" s="7" t="n"/>
      <c r="U56" s="7" t="n"/>
      <c r="V56" s="7" t="n"/>
      <c r="W56" s="7" t="n"/>
      <c r="X56" s="7" t="n"/>
      <c r="Y56" s="7" t="n"/>
      <c r="Z56" s="7" t="n"/>
      <c r="AA56" s="7" t="n"/>
    </row>
    <row r="57">
      <c r="A57" t="inlineStr">
        <is>
          <t>total liabilities</t>
        </is>
      </c>
      <c r="B57" t="inlineStr">
        <is>
          <t>USD millions</t>
        </is>
      </c>
      <c r="C57" s="4" t="n">
        <v>23779</v>
      </c>
      <c r="D57" s="4" t="n">
        <v>24240</v>
      </c>
      <c r="E57" s="4" t="n">
        <v>25430</v>
      </c>
      <c r="F57" s="4" t="n">
        <v>26017</v>
      </c>
      <c r="G57" s="5">
        <f>F57</f>
        <v/>
      </c>
      <c r="H57" s="4" t="n">
        <v>27100</v>
      </c>
      <c r="I57" s="4" t="n">
        <v>27731</v>
      </c>
      <c r="J57" s="4" t="n">
        <v>30578</v>
      </c>
      <c r="K57" s="4" t="n">
        <v>28768</v>
      </c>
      <c r="L57" s="5">
        <f>K57</f>
        <v/>
      </c>
      <c r="M57" s="4" t="n">
        <v>29917</v>
      </c>
      <c r="N57" s="4" t="n">
        <v>32352</v>
      </c>
      <c r="O57" s="4" t="n">
        <v>34189</v>
      </c>
      <c r="P57" s="4" t="n">
        <v>33719</v>
      </c>
      <c r="Q57" s="5">
        <f>P57</f>
        <v/>
      </c>
      <c r="R57" s="4" t="n">
        <v>34073</v>
      </c>
      <c r="S57" s="4" t="n">
        <v>37402</v>
      </c>
      <c r="T57" s="7" t="n"/>
      <c r="U57" s="7" t="n"/>
      <c r="V57" s="7" t="n"/>
      <c r="W57" s="7" t="n"/>
      <c r="X57" s="7" t="n"/>
      <c r="Y57" s="7" t="n"/>
      <c r="Z57" s="7" t="n"/>
      <c r="AA57" s="7" t="n"/>
    </row>
    <row r="58">
      <c r="A58" t="inlineStr">
        <is>
          <t>redeemable non-controlling interests</t>
        </is>
      </c>
      <c r="B58" t="inlineStr">
        <is>
          <t>USD millions</t>
        </is>
      </c>
      <c r="C58" s="4" t="n">
        <v>419</v>
      </c>
      <c r="D58" s="4" t="n">
        <v>408</v>
      </c>
      <c r="E58" s="4" t="n">
        <v>394</v>
      </c>
      <c r="F58" s="4" t="n">
        <v>654</v>
      </c>
      <c r="G58" s="5">
        <f>F58</f>
        <v/>
      </c>
      <c r="H58" s="4" t="n">
        <v>651</v>
      </c>
      <c r="I58" s="4" t="n">
        <v>631</v>
      </c>
      <c r="J58" s="4" t="n">
        <v>946</v>
      </c>
      <c r="K58" s="4" t="n">
        <v>93</v>
      </c>
      <c r="L58" s="5">
        <f>K58</f>
        <v/>
      </c>
      <c r="M58" s="4" t="n">
        <v>93</v>
      </c>
      <c r="N58" s="4" t="n">
        <v>183</v>
      </c>
      <c r="O58" s="4" t="n">
        <v>158</v>
      </c>
      <c r="P58" s="4" t="n">
        <v>165</v>
      </c>
      <c r="Q58" s="5">
        <f>P58</f>
        <v/>
      </c>
      <c r="R58" s="4" t="n">
        <v>171</v>
      </c>
      <c r="S58" s="4" t="n">
        <v>180</v>
      </c>
      <c r="T58" s="7" t="n"/>
      <c r="U58" s="7" t="n"/>
      <c r="V58" s="7" t="n"/>
      <c r="W58" s="7" t="n"/>
      <c r="X58" s="7" t="n"/>
      <c r="Y58" s="7" t="n"/>
      <c r="Z58" s="7" t="n"/>
      <c r="AA58" s="7" t="n"/>
    </row>
    <row r="59">
      <c r="A59" t="inlineStr">
        <is>
          <t>total equity (incl. NCI)</t>
        </is>
      </c>
      <c r="B59" t="inlineStr">
        <is>
          <t>USD millions</t>
        </is>
      </c>
      <c r="C59" s="4" t="n">
        <v>8253</v>
      </c>
      <c r="D59" s="4" t="n">
        <v>9420</v>
      </c>
      <c r="E59" s="4" t="n">
        <v>10125</v>
      </c>
      <c r="F59" s="4" t="n">
        <v>12028</v>
      </c>
      <c r="G59" s="5">
        <f>F59</f>
        <v/>
      </c>
      <c r="H59" s="4" t="n">
        <v>11848</v>
      </c>
      <c r="I59" s="4" t="n">
        <v>13152</v>
      </c>
      <c r="J59" s="4" t="n">
        <v>15593</v>
      </c>
      <c r="K59" s="4" t="n">
        <v>22383</v>
      </c>
      <c r="L59" s="5">
        <f>K59</f>
        <v/>
      </c>
      <c r="M59" s="4" t="n">
        <v>22812</v>
      </c>
      <c r="N59" s="4" t="n">
        <v>23447</v>
      </c>
      <c r="O59" s="4" t="n">
        <v>28997</v>
      </c>
      <c r="P59" s="4" t="n">
        <v>27918</v>
      </c>
      <c r="Q59" s="5">
        <f>P59</f>
        <v/>
      </c>
      <c r="R59" s="4" t="n">
        <v>25641</v>
      </c>
      <c r="S59" s="4" t="n">
        <v>28219</v>
      </c>
      <c r="T59" s="7" t="n"/>
      <c r="U59" s="7" t="n"/>
      <c r="V59" s="7" t="n"/>
      <c r="W59" s="7" t="n"/>
      <c r="X59" s="7" t="n"/>
      <c r="Y59" s="7" t="n"/>
      <c r="Z59" s="7" t="n"/>
      <c r="AA59" s="7" t="n"/>
    </row>
    <row r="60">
      <c r="A60" t="inlineStr">
        <is>
          <t>assets less liabilities and equity (must be 0)</t>
        </is>
      </c>
      <c r="B60" t="inlineStr">
        <is>
          <t>USD millions</t>
        </is>
      </c>
      <c r="C60" s="5">
        <f>((C56-C57)-C58)-C59</f>
        <v/>
      </c>
      <c r="D60" s="5">
        <f>((D56-D57)-D58)-D59</f>
        <v/>
      </c>
      <c r="E60" s="5">
        <f>((E56-E57)-E58)-E59</f>
        <v/>
      </c>
      <c r="F60" s="5">
        <f>((F56-F57)-F58)-F59</f>
        <v/>
      </c>
      <c r="G60" s="5">
        <f>F60</f>
        <v/>
      </c>
      <c r="H60" s="5">
        <f>((H56-H57)-H58)-H59</f>
        <v/>
      </c>
      <c r="I60" s="5">
        <f>((I56-I57)-I58)-I59</f>
        <v/>
      </c>
      <c r="J60" s="5">
        <f>((J56-J57)-J58)-J59</f>
        <v/>
      </c>
      <c r="K60" s="5">
        <f>((K56-K57)-K58)-K59</f>
        <v/>
      </c>
      <c r="L60" s="5">
        <f>K60</f>
        <v/>
      </c>
      <c r="M60" s="5">
        <f>((M56-M57)-M58)-M59</f>
        <v/>
      </c>
      <c r="N60" s="5">
        <f>((N56-N57)-N58)-N59</f>
        <v/>
      </c>
      <c r="O60" s="5">
        <f>((O56-O57)-O58)-O59</f>
        <v/>
      </c>
      <c r="P60" s="5">
        <f>((P56-P57)-P58)-P59</f>
        <v/>
      </c>
      <c r="Q60" s="5">
        <f>P60</f>
        <v/>
      </c>
      <c r="R60" s="5">
        <f>((R56-R57)-R58)-R59</f>
        <v/>
      </c>
      <c r="S60" s="5">
        <f>((S56-S57)-S58)-S59</f>
        <v/>
      </c>
      <c r="T60" s="7" t="n"/>
      <c r="U60" s="7" t="n"/>
      <c r="V60" s="7" t="n"/>
      <c r="W60" s="7" t="n"/>
      <c r="X60" s="7" t="n"/>
      <c r="Y60" s="7" t="n"/>
      <c r="Z60" s="7" t="n"/>
      <c r="AA60" s="7" t="n"/>
    </row>
    <row r="61">
      <c r="A61" t="inlineStr">
        <is>
          <t>total liabilities and equity (reported)</t>
        </is>
      </c>
      <c r="B61" t="inlineStr">
        <is>
          <t>USD millions</t>
        </is>
      </c>
      <c r="C61" s="4" t="n">
        <v>32451</v>
      </c>
      <c r="D61" s="4" t="n">
        <v>34068</v>
      </c>
      <c r="E61" s="4" t="n">
        <v>35949</v>
      </c>
      <c r="F61" s="4" t="n">
        <v>38699</v>
      </c>
      <c r="G61" s="5">
        <f>F61</f>
        <v/>
      </c>
      <c r="H61" s="4" t="n">
        <v>39599</v>
      </c>
      <c r="I61" s="4" t="n">
        <v>41514</v>
      </c>
      <c r="J61" s="4" t="n">
        <v>47117</v>
      </c>
      <c r="K61" s="4" t="n">
        <v>51244</v>
      </c>
      <c r="L61" s="5">
        <f>K61</f>
        <v/>
      </c>
      <c r="M61" s="4" t="n">
        <v>52822</v>
      </c>
      <c r="N61" s="4" t="n">
        <v>55982</v>
      </c>
      <c r="O61" s="4" t="n">
        <v>63344</v>
      </c>
      <c r="P61" s="4" t="n">
        <v>61802</v>
      </c>
      <c r="Q61" s="5">
        <f>P61</f>
        <v/>
      </c>
      <c r="R61" s="4" t="n">
        <v>59885</v>
      </c>
      <c r="S61" s="4" t="n">
        <v>65801</v>
      </c>
      <c r="T61" s="7" t="n"/>
      <c r="U61" s="7" t="n"/>
      <c r="V61" s="7" t="n"/>
      <c r="W61" s="7" t="n"/>
      <c r="X61" s="7" t="n"/>
      <c r="Y61" s="7" t="n"/>
      <c r="Z61" s="7" t="n"/>
      <c r="AA61" s="7" t="n"/>
    </row>
    <row r="62">
      <c r="A62" t="inlineStr">
        <is>
          <t>assets less reported liabilities and equity (must be 0)</t>
        </is>
      </c>
      <c r="B62" t="inlineStr">
        <is>
          <t>USD millions</t>
        </is>
      </c>
      <c r="C62" s="5">
        <f>C56-C61</f>
        <v/>
      </c>
      <c r="D62" s="5">
        <f>D56-D61</f>
        <v/>
      </c>
      <c r="E62" s="5">
        <f>E56-E61</f>
        <v/>
      </c>
      <c r="F62" s="5">
        <f>F56-F61</f>
        <v/>
      </c>
      <c r="G62" s="5">
        <f>F62</f>
        <v/>
      </c>
      <c r="H62" s="5">
        <f>H56-H61</f>
        <v/>
      </c>
      <c r="I62" s="5">
        <f>I56-I61</f>
        <v/>
      </c>
      <c r="J62" s="5">
        <f>J56-J61</f>
        <v/>
      </c>
      <c r="K62" s="5">
        <f>K56-K61</f>
        <v/>
      </c>
      <c r="L62" s="5">
        <f>K62</f>
        <v/>
      </c>
      <c r="M62" s="5">
        <f>M56-M61</f>
        <v/>
      </c>
      <c r="N62" s="5">
        <f>N56-N61</f>
        <v/>
      </c>
      <c r="O62" s="5">
        <f>O56-O61</f>
        <v/>
      </c>
      <c r="P62" s="5">
        <f>P56-P61</f>
        <v/>
      </c>
      <c r="Q62" s="5">
        <f>P62</f>
        <v/>
      </c>
      <c r="R62" s="5">
        <f>R56-R61</f>
        <v/>
      </c>
      <c r="S62" s="5">
        <f>S56-S61</f>
        <v/>
      </c>
      <c r="T62" s="7" t="n"/>
      <c r="U62" s="7" t="n"/>
      <c r="V62" s="7" t="n"/>
      <c r="W62" s="7" t="n"/>
      <c r="X62" s="7" t="n"/>
      <c r="Y62" s="7" t="n"/>
      <c r="Z62" s="7" t="n"/>
      <c r="AA62" s="7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36" customWidth="1" min="1" max="1"/>
  </cols>
  <sheetData>
    <row r="1">
      <c r="A1" s="1" t="inlineStr">
        <is>
          <t>assumption</t>
        </is>
      </c>
      <c r="B1" s="1" t="inlineStr">
        <is>
          <t>value</t>
        </is>
      </c>
    </row>
    <row r="2">
      <c r="A2" t="inlineStr">
        <is>
          <t>buybacks_q</t>
        </is>
      </c>
      <c r="B2" s="20" t="n">
        <v>1726</v>
      </c>
    </row>
    <row r="3">
      <c r="A3" t="inlineStr">
        <is>
          <t>capex.ratio</t>
        </is>
      </c>
      <c r="B3" s="20" t="n">
        <v>0.005576982273163489</v>
      </c>
    </row>
    <row r="4">
      <c r="A4" t="inlineStr">
        <is>
          <t>cost_to_gb.hi</t>
        </is>
      </c>
      <c r="B4" s="20" t="n">
        <v>0.2518111927366802</v>
      </c>
    </row>
    <row r="5">
      <c r="A5" t="inlineStr">
        <is>
          <t>cost_to_gb.lo</t>
        </is>
      </c>
      <c r="B5" s="20" t="n">
        <v>0.1759946227293096</v>
      </c>
    </row>
    <row r="6">
      <c r="A6" t="inlineStr">
        <is>
          <t>cost_to_gb.shift0</t>
        </is>
      </c>
      <c r="B6" s="20" t="n">
        <v>-0.02869810919406943</v>
      </c>
    </row>
    <row r="7">
      <c r="A7" t="inlineStr">
        <is>
          <t>d_and_a.ratio</t>
        </is>
      </c>
      <c r="B7" s="20" t="n">
        <v>0.01348977855034675</v>
      </c>
    </row>
    <row r="8">
      <c r="A8" t="inlineStr">
        <is>
          <t>fade</t>
        </is>
      </c>
      <c r="B8" s="20" t="n">
        <v>0.9</v>
      </c>
    </row>
    <row r="9">
      <c r="A9" t="inlineStr">
        <is>
          <t>gb_g_adj</t>
        </is>
      </c>
      <c r="B9" s="20" t="n">
        <v>-0.0512641890470805</v>
      </c>
    </row>
    <row r="10">
      <c r="A10" t="inlineStr">
        <is>
          <t>gb_g_delivery.g0</t>
        </is>
      </c>
      <c r="B10" s="20" t="n">
        <v>0.2635962087052544</v>
      </c>
    </row>
    <row r="11">
      <c r="A11" t="inlineStr">
        <is>
          <t>gb_g_freight.g0</t>
        </is>
      </c>
      <c r="B11" s="20" t="n">
        <v>0.2468253968253968</v>
      </c>
    </row>
    <row r="12">
      <c r="A12" t="inlineStr">
        <is>
          <t>gb_g_mobility.g0</t>
        </is>
      </c>
      <c r="B12" s="20" t="n">
        <v>0.2199309822405522</v>
      </c>
    </row>
    <row r="13">
      <c r="A13" t="inlineStr">
        <is>
          <t>sbc.ratio</t>
        </is>
      </c>
      <c r="B13" s="20" t="n">
        <v>0.03510963840150651</v>
      </c>
    </row>
    <row r="14">
      <c r="A14" t="inlineStr">
        <is>
          <t>share_change</t>
        </is>
      </c>
      <c r="B14" s="20" t="n">
        <v>-0.008988793286026975</v>
      </c>
    </row>
    <row r="15">
      <c r="A15" t="inlineStr">
        <is>
          <t>shares_last</t>
        </is>
      </c>
      <c r="B15" s="20" t="n">
        <v>2050.225</v>
      </c>
    </row>
    <row r="16">
      <c r="A16" t="inlineStr">
        <is>
          <t>take_rate_delivery.hi</t>
        </is>
      </c>
      <c r="B16" s="20" t="n">
        <v>0.1999830717143737</v>
      </c>
    </row>
    <row r="17">
      <c r="A17" t="inlineStr">
        <is>
          <t>take_rate_delivery.lo</t>
        </is>
      </c>
      <c r="B17" s="20" t="n">
        <v>0.1803560386710507</v>
      </c>
    </row>
    <row r="18">
      <c r="A18" t="inlineStr">
        <is>
          <t>take_rate_delivery.shift0</t>
        </is>
      </c>
      <c r="B18" s="20" t="n">
        <v>0.002247691508249161</v>
      </c>
    </row>
    <row r="19">
      <c r="A19" t="inlineStr">
        <is>
          <t>take_rate_freight.hi</t>
        </is>
      </c>
      <c r="B19" s="20" t="n">
        <v>1.012638446849141</v>
      </c>
    </row>
    <row r="20">
      <c r="A20" t="inlineStr">
        <is>
          <t>take_rate_freight.lo</t>
        </is>
      </c>
      <c r="B20" s="20" t="n">
        <v>0.9957645259938838</v>
      </c>
    </row>
    <row r="21">
      <c r="A21" t="inlineStr">
        <is>
          <t>take_rate_freight.shift0</t>
        </is>
      </c>
      <c r="B21" s="20" t="n">
        <v>0.006844796055489821</v>
      </c>
    </row>
    <row r="22">
      <c r="A22" t="inlineStr">
        <is>
          <t>take_rate_mobility.hi</t>
        </is>
      </c>
      <c r="B22" s="20" t="n">
        <v>0.3117081895463345</v>
      </c>
    </row>
    <row r="23">
      <c r="A23" t="inlineStr">
        <is>
          <t>take_rate_mobility.lo</t>
        </is>
      </c>
      <c r="B23" s="20" t="n">
        <v>0.2490016558575963</v>
      </c>
    </row>
    <row r="24">
      <c r="A24" t="inlineStr">
        <is>
          <t>take_rate_mobility.shift0</t>
        </is>
      </c>
      <c r="B24" s="20" t="n">
        <v>-0.05270653368873823</v>
      </c>
    </row>
    <row r="25">
      <c r="A25" t="inlineStr">
        <is>
          <t>tax_rate</t>
        </is>
      </c>
      <c r="B25" s="20" t="n">
        <v>0.1</v>
      </c>
    </row>
    <row r="26">
      <c r="A26" t="inlineStr">
        <is>
          <t>trips_g.g0</t>
        </is>
      </c>
      <c r="B26" s="20" t="n">
        <v>0.1832925336597306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rating (draft)</t>
        </is>
      </c>
      <c r="B2" t="inlineStr">
        <is>
          <t>Buy</t>
        </is>
      </c>
    </row>
    <row r="3">
      <c r="A3" t="inlineStr">
        <is>
          <t>price</t>
        </is>
      </c>
      <c r="B3" t="n">
        <v>68.18000000000001</v>
      </c>
    </row>
    <row r="4">
      <c r="A4" t="inlineStr">
        <is>
          <t>price date</t>
        </is>
      </c>
      <c r="B4" t="inlineStr">
        <is>
          <t>2026-08-05</t>
        </is>
      </c>
    </row>
    <row r="5">
      <c r="A5" t="inlineStr">
        <is>
          <t>12-month price target</t>
        </is>
      </c>
      <c r="B5" t="n">
        <v>83.62262237</v>
      </c>
    </row>
    <row r="6">
      <c r="A6" t="inlineStr">
        <is>
          <t>return</t>
        </is>
      </c>
      <c r="B6" t="n">
        <v>0.2264978347</v>
      </c>
    </row>
    <row r="7">
      <c r="A7" t="inlineStr">
        <is>
          <t>market cap (USD millions)</t>
        </is>
      </c>
      <c r="B7" t="n">
        <v>139784.3405</v>
      </c>
    </row>
    <row r="8">
      <c r="A8" t="inlineStr">
        <is>
          <t>EV (USD millions)</t>
        </is>
      </c>
      <c r="B8" t="n">
        <v>147116.3405</v>
      </c>
    </row>
    <row r="9">
      <c r="A9" t="inlineStr">
        <is>
          <t>net debt (USD millions)</t>
        </is>
      </c>
      <c r="B9" t="n">
        <v>7332</v>
      </c>
    </row>
    <row r="10">
      <c r="A10" t="inlineStr">
        <is>
          <t>diluted shares (millions)</t>
        </is>
      </c>
      <c r="B10" t="n">
        <v>2050.225</v>
      </c>
    </row>
    <row r="11">
      <c r="A11" t="inlineStr">
        <is>
          <t>WACC</t>
        </is>
      </c>
      <c r="B11" t="n">
        <v>0.09498421408</v>
      </c>
    </row>
    <row r="12">
      <c r="A12" t="inlineStr">
        <is>
          <t>parity</t>
        </is>
      </c>
      <c r="B12" t="inlineStr">
        <is>
          <t>750/750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1" t="inlineStr">
        <is>
          <t>scenario and line</t>
        </is>
      </c>
      <c r="B1" s="1" t="inlineStr">
        <is>
          <t>year</t>
        </is>
      </c>
      <c r="C1" s="1" t="inlineStr">
        <is>
          <t>value</t>
        </is>
      </c>
    </row>
    <row r="2">
      <c r="A2" t="inlineStr">
        <is>
          <t>base revenue</t>
        </is>
      </c>
      <c r="B2" t="inlineStr">
        <is>
          <t>FY2026</t>
        </is>
      </c>
      <c r="C2" t="n">
        <v>57297.21019141057</v>
      </c>
    </row>
    <row r="3">
      <c r="A3" t="inlineStr">
        <is>
          <t>base revenue</t>
        </is>
      </c>
      <c r="B3" t="inlineStr">
        <is>
          <t>FY2027</t>
        </is>
      </c>
      <c r="C3" t="n">
        <v>63872.54688974193</v>
      </c>
    </row>
    <row r="4">
      <c r="A4" t="inlineStr">
        <is>
          <t>base adj_ebitda</t>
        </is>
      </c>
      <c r="B4" t="inlineStr">
        <is>
          <t>FY2026</t>
        </is>
      </c>
      <c r="C4" t="n">
        <v>11319.2227698012</v>
      </c>
    </row>
    <row r="5">
      <c r="A5" t="inlineStr">
        <is>
          <t>base adj_ebitda</t>
        </is>
      </c>
      <c r="B5" t="inlineStr">
        <is>
          <t>FY2027</t>
        </is>
      </c>
      <c r="C5" t="n">
        <v>15237.7065540298</v>
      </c>
    </row>
    <row r="6">
      <c r="A6" t="inlineStr">
        <is>
          <t>base eps_diluted</t>
        </is>
      </c>
      <c r="B6" t="inlineStr">
        <is>
          <t>FY2026</t>
        </is>
      </c>
      <c r="C6" t="n">
        <v>3.343992503863767</v>
      </c>
    </row>
    <row r="7">
      <c r="A7" t="inlineStr">
        <is>
          <t>base eps_diluted</t>
        </is>
      </c>
      <c r="B7" t="inlineStr">
        <is>
          <t>FY2027</t>
        </is>
      </c>
      <c r="C7" t="n">
        <v>5.548262376506461</v>
      </c>
    </row>
    <row r="8">
      <c r="A8" t="inlineStr">
        <is>
          <t>base free_cash_flow</t>
        </is>
      </c>
      <c r="B8" t="inlineStr">
        <is>
          <t>FY2026</t>
        </is>
      </c>
      <c r="C8" t="n">
        <v>10447.76433379309</v>
      </c>
    </row>
    <row r="9">
      <c r="A9" t="inlineStr">
        <is>
          <t>base free_cash_flow</t>
        </is>
      </c>
      <c r="B9" t="inlineStr">
        <is>
          <t>FY2027</t>
        </is>
      </c>
      <c r="C9" t="n">
        <v>13666.3488436453</v>
      </c>
    </row>
    <row r="10">
      <c r="A10" t="inlineStr">
        <is>
          <t>bear revenue</t>
        </is>
      </c>
      <c r="B10" t="inlineStr">
        <is>
          <t>FY2026</t>
        </is>
      </c>
      <c r="C10" t="n">
        <v>56186.31036193257</v>
      </c>
    </row>
    <row r="11">
      <c r="A11" t="inlineStr">
        <is>
          <t>bear revenue</t>
        </is>
      </c>
      <c r="B11" t="inlineStr">
        <is>
          <t>FY2027</t>
        </is>
      </c>
      <c r="C11" t="n">
        <v>61185.23705195086</v>
      </c>
    </row>
    <row r="12">
      <c r="A12" t="inlineStr">
        <is>
          <t>bear adj_ebitda</t>
        </is>
      </c>
      <c r="B12" t="inlineStr">
        <is>
          <t>FY2026</t>
        </is>
      </c>
      <c r="C12" t="n">
        <v>11017.25098571253</v>
      </c>
    </row>
    <row r="13">
      <c r="A13" t="inlineStr">
        <is>
          <t>bear adj_ebitda</t>
        </is>
      </c>
      <c r="B13" t="inlineStr">
        <is>
          <t>FY2027</t>
        </is>
      </c>
      <c r="C13" t="n">
        <v>14682.73955617284</v>
      </c>
    </row>
    <row r="14">
      <c r="A14" t="inlineStr">
        <is>
          <t>bear eps_diluted</t>
        </is>
      </c>
      <c r="B14" t="inlineStr">
        <is>
          <t>FY2026</t>
        </is>
      </c>
      <c r="C14" t="n">
        <v>3.233643097276982</v>
      </c>
    </row>
    <row r="15">
      <c r="A15" t="inlineStr">
        <is>
          <t>bear eps_diluted</t>
        </is>
      </c>
      <c r="B15" t="inlineStr">
        <is>
          <t>FY2027</t>
        </is>
      </c>
      <c r="C15" t="n">
        <v>5.353229541633904</v>
      </c>
    </row>
    <row r="16">
      <c r="A16" t="inlineStr">
        <is>
          <t>bear free_cash_flow</t>
        </is>
      </c>
      <c r="B16" t="inlineStr">
        <is>
          <t>FY2026</t>
        </is>
      </c>
      <c r="C16" t="n">
        <v>10177.82185500749</v>
      </c>
    </row>
    <row r="17">
      <c r="A17" t="inlineStr">
        <is>
          <t>bear free_cash_flow</t>
        </is>
      </c>
      <c r="B17" t="inlineStr">
        <is>
          <t>FY2027</t>
        </is>
      </c>
      <c r="C17" t="n">
        <v>13169.87031426878</v>
      </c>
    </row>
    <row r="18">
      <c r="A18" t="inlineStr">
        <is>
          <t>bull revenue</t>
        </is>
      </c>
      <c r="B18" t="inlineStr">
        <is>
          <t>FY2026</t>
        </is>
      </c>
      <c r="C18" t="n">
        <v>59760.15246672712</v>
      </c>
    </row>
    <row r="19">
      <c r="A19" t="inlineStr">
        <is>
          <t>bull revenue</t>
        </is>
      </c>
      <c r="B19" t="inlineStr">
        <is>
          <t>FY2027</t>
        </is>
      </c>
      <c r="C19" t="n">
        <v>68118.11215163291</v>
      </c>
    </row>
    <row r="20">
      <c r="A20" t="inlineStr">
        <is>
          <t>bull adj_ebitda</t>
        </is>
      </c>
      <c r="B20" t="inlineStr">
        <is>
          <t>FY2026</t>
        </is>
      </c>
      <c r="C20" t="n">
        <v>12973.23699972844</v>
      </c>
    </row>
    <row r="21">
      <c r="A21" t="inlineStr">
        <is>
          <t>bull adj_ebitda</t>
        </is>
      </c>
      <c r="B21" t="inlineStr">
        <is>
          <t>FY2027</t>
        </is>
      </c>
      <c r="C21" t="n">
        <v>17306.58707420086</v>
      </c>
    </row>
    <row r="22">
      <c r="A22" t="inlineStr">
        <is>
          <t>bull eps_diluted</t>
        </is>
      </c>
      <c r="B22" t="inlineStr">
        <is>
          <t>FY2026</t>
        </is>
      </c>
      <c r="C22" t="n">
        <v>4.022694564115731</v>
      </c>
    </row>
    <row r="23">
      <c r="A23" t="inlineStr">
        <is>
          <t>bull eps_diluted</t>
        </is>
      </c>
      <c r="B23" t="inlineStr">
        <is>
          <t>FY2027</t>
        </is>
      </c>
      <c r="C23" t="n">
        <v>6.40234931363011</v>
      </c>
    </row>
    <row r="24">
      <c r="A24" t="inlineStr">
        <is>
          <t>bull free_cash_flow</t>
        </is>
      </c>
      <c r="B24" t="inlineStr">
        <is>
          <t>FY2026</t>
        </is>
      </c>
      <c r="C24" t="n">
        <v>11932.37782513446</v>
      </c>
    </row>
    <row r="25">
      <c r="A25" t="inlineStr">
        <is>
          <t>bull free_cash_flow</t>
        </is>
      </c>
      <c r="B25" t="inlineStr">
        <is>
          <t>FY2027</t>
        </is>
      </c>
      <c r="C25" t="n">
        <v>15522.83745309059</v>
      </c>
    </row>
    <row r="26">
      <c r="A26" t="inlineStr">
        <is>
          <t>weighted revenue</t>
        </is>
      </c>
      <c r="B26" t="inlineStr">
        <is>
          <t>FY2026</t>
        </is>
      </c>
      <c r="C26" t="n">
        <v>57635.22080287021</v>
      </c>
    </row>
    <row r="27">
      <c r="A27" t="inlineStr">
        <is>
          <t>weighted revenue</t>
        </is>
      </c>
      <c r="B27" t="inlineStr">
        <is>
          <t>FY2027</t>
        </is>
      </c>
      <c r="C27" t="n">
        <v>64262.11074576691</v>
      </c>
    </row>
    <row r="28">
      <c r="A28" t="inlineStr">
        <is>
          <t>weighted adj_ebitda</t>
        </is>
      </c>
      <c r="B28" t="inlineStr">
        <is>
          <t>FY2026</t>
        </is>
      </c>
      <c r="C28" t="n">
        <v>11657.23338126084</v>
      </c>
    </row>
    <row r="29">
      <c r="A29" t="inlineStr">
        <is>
          <t>weighted adj_ebitda</t>
        </is>
      </c>
      <c r="B29" t="inlineStr">
        <is>
          <t>FY2027</t>
        </is>
      </c>
      <c r="C29" t="n">
        <v>15616.18493460833</v>
      </c>
    </row>
    <row r="30">
      <c r="A30" t="inlineStr">
        <is>
          <t>weighted eps_diluted</t>
        </is>
      </c>
      <c r="B30" t="inlineStr">
        <is>
          <t>FY2026</t>
        </is>
      </c>
      <c r="C30" t="n">
        <v>3.486080667280062</v>
      </c>
    </row>
    <row r="31">
      <c r="A31" t="inlineStr">
        <is>
          <t>weighted eps_diluted</t>
        </is>
      </c>
      <c r="B31" t="inlineStr">
        <is>
          <t>FY2027</t>
        </is>
      </c>
      <c r="C31" t="n">
        <v>5.713025902069234</v>
      </c>
    </row>
    <row r="32">
      <c r="A32" t="inlineStr">
        <is>
          <t>weighted free_cash_flow</t>
        </is>
      </c>
      <c r="B32" t="inlineStr">
        <is>
          <t>FY2026</t>
        </is>
      </c>
      <c r="C32" t="n">
        <v>10751.43208693203</v>
      </c>
    </row>
    <row r="33">
      <c r="A33" t="inlineStr">
        <is>
          <t>weighted free_cash_flow</t>
        </is>
      </c>
      <c r="B33" t="inlineStr">
        <is>
          <t>FY2027</t>
        </is>
      </c>
      <c r="C33" t="n">
        <v>14006.35136366249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peer 2027E EV/EBITDA CART</t>
        </is>
      </c>
      <c r="B2" t="n">
        <v>8.118110633000001</v>
      </c>
    </row>
    <row r="3">
      <c r="A3" t="inlineStr">
        <is>
          <t>peer 2027E EV/EBITDA DASH</t>
        </is>
      </c>
      <c r="B3" t="n">
        <v>19.17738391</v>
      </c>
    </row>
    <row r="4">
      <c r="A4" t="inlineStr">
        <is>
          <t>peer 2027E EV/EBITDA LYFT</t>
        </is>
      </c>
      <c r="B4" t="n">
        <v>7.367274874</v>
      </c>
    </row>
    <row r="5">
      <c r="A5" t="inlineStr">
        <is>
          <t>peer median</t>
        </is>
      </c>
      <c r="B5" t="n">
        <v>8.118110633000001</v>
      </c>
    </row>
    <row r="6">
      <c r="A6" t="inlineStr">
        <is>
          <t>rf</t>
        </is>
      </c>
      <c r="B6" t="n">
        <v>0.0463</v>
      </c>
    </row>
    <row r="7">
      <c r="A7" t="inlineStr">
        <is>
          <t>rf_id</t>
        </is>
      </c>
      <c r="B7" t="inlineStr">
        <is>
          <t>macro:DGS10:2026-08-04</t>
        </is>
      </c>
    </row>
    <row r="8">
      <c r="A8" t="inlineStr">
        <is>
          <t>erp</t>
        </is>
      </c>
      <c r="B8" t="n">
        <v>0.0428</v>
      </c>
    </row>
    <row r="9">
      <c r="A9" t="inlineStr">
        <is>
          <t>erp_id</t>
        </is>
      </c>
      <c r="B9" t="inlineStr">
        <is>
          <t>erp:damodaran:2026-08-01</t>
        </is>
      </c>
    </row>
    <row r="10">
      <c r="A10" t="inlineStr">
        <is>
          <t>beta</t>
        </is>
      </c>
      <c r="B10" t="n">
        <v>1.137481637</v>
      </c>
    </row>
    <row r="11">
      <c r="A11" t="inlineStr">
        <is>
          <t>beta_months</t>
        </is>
      </c>
      <c r="B11" t="n">
        <v>60</v>
      </c>
    </row>
    <row r="12">
      <c r="A12" t="inlineStr">
        <is>
          <t>ke</t>
        </is>
      </c>
      <c r="B12" t="n">
        <v>0.09498421408</v>
      </c>
    </row>
    <row r="13">
      <c r="A13" t="inlineStr">
        <is>
          <t>kd</t>
        </is>
      </c>
      <c r="B13" t="n">
        <v>0.03631219052</v>
      </c>
    </row>
    <row r="14">
      <c r="A14" t="inlineStr">
        <is>
          <t>debt_weight</t>
        </is>
      </c>
      <c r="B14" t="n">
        <v>0.08342549255999999</v>
      </c>
    </row>
    <row r="15">
      <c r="A15" t="inlineStr">
        <is>
          <t>wacc</t>
        </is>
      </c>
      <c r="B15" t="n">
        <v>0.09498421408</v>
      </c>
    </row>
    <row r="16">
      <c r="A16" t="inlineStr">
        <is>
          <t>base adj_ebitda</t>
        </is>
      </c>
      <c r="B16" t="n">
        <v>15237.70655</v>
      </c>
    </row>
    <row r="17">
      <c r="A17" t="inlineStr">
        <is>
          <t>base target_multiple</t>
        </is>
      </c>
      <c r="B17" t="n">
        <v>8.118110633000001</v>
      </c>
    </row>
    <row r="18">
      <c r="A18" t="inlineStr">
        <is>
          <t>base multiple_outside_peer_range</t>
        </is>
      </c>
      <c r="B18" t="b">
        <v>0</v>
      </c>
    </row>
    <row r="19">
      <c r="A19" t="inlineStr">
        <is>
          <t>base multiple_pt</t>
        </is>
      </c>
      <c r="B19" t="n">
        <v>56.75932524</v>
      </c>
    </row>
    <row r="20">
      <c r="A20" t="inlineStr">
        <is>
          <t>base dcf_ev</t>
        </is>
      </c>
      <c r="B20" t="n">
        <v>246810.6198</v>
      </c>
    </row>
    <row r="21">
      <c r="A21" t="inlineStr">
        <is>
          <t>base dcf_pt</t>
        </is>
      </c>
      <c r="B21" t="n">
        <v>116.8060187</v>
      </c>
    </row>
    <row r="22">
      <c r="A22" t="inlineStr">
        <is>
          <t>base dcf_used</t>
        </is>
      </c>
      <c r="B22" t="b">
        <v>1</v>
      </c>
    </row>
    <row r="23">
      <c r="A23" t="inlineStr">
        <is>
          <t>base terminal_share</t>
        </is>
      </c>
      <c r="B23" t="n">
        <v>0.6039755243</v>
      </c>
    </row>
    <row r="24">
      <c r="A24" t="inlineStr">
        <is>
          <t>base price_target</t>
        </is>
      </c>
      <c r="B24" t="n">
        <v>80.77800264</v>
      </c>
    </row>
    <row r="25">
      <c r="A25" t="inlineStr">
        <is>
          <t>bear adj_ebitda</t>
        </is>
      </c>
      <c r="B25" t="n">
        <v>14682.73956</v>
      </c>
    </row>
    <row r="26">
      <c r="A26" t="inlineStr">
        <is>
          <t>bear target_multiple</t>
        </is>
      </c>
      <c r="B26" t="n">
        <v>6.900394038</v>
      </c>
    </row>
    <row r="27">
      <c r="A27" t="inlineStr">
        <is>
          <t>bear multiple_outside_peer_range</t>
        </is>
      </c>
      <c r="B27" t="b">
        <v>1</v>
      </c>
    </row>
    <row r="28">
      <c r="A28" t="inlineStr">
        <is>
          <t>bear multiple_pt</t>
        </is>
      </c>
      <c r="B28" t="n">
        <v>45.84115816</v>
      </c>
    </row>
    <row r="29">
      <c r="A29" t="inlineStr">
        <is>
          <t>bear dcf_ev</t>
        </is>
      </c>
      <c r="B29" t="n">
        <v>215608.0272</v>
      </c>
    </row>
    <row r="30">
      <c r="A30" t="inlineStr">
        <is>
          <t>bear dcf_pt</t>
        </is>
      </c>
      <c r="B30" t="n">
        <v>101.5869123</v>
      </c>
    </row>
    <row r="31">
      <c r="A31" t="inlineStr">
        <is>
          <t>bear dcf_used</t>
        </is>
      </c>
      <c r="B31" t="b">
        <v>1</v>
      </c>
    </row>
    <row r="32">
      <c r="A32" t="inlineStr">
        <is>
          <t>bear terminal_share</t>
        </is>
      </c>
      <c r="B32" t="n">
        <v>0.5899911178</v>
      </c>
    </row>
    <row r="33">
      <c r="A33" t="inlineStr">
        <is>
          <t>bear price_target</t>
        </is>
      </c>
      <c r="B33" t="n">
        <v>68.13945981000001</v>
      </c>
    </row>
    <row r="34">
      <c r="A34" t="inlineStr">
        <is>
          <t>bull adj_ebitda</t>
        </is>
      </c>
      <c r="B34" t="n">
        <v>17306.58707</v>
      </c>
    </row>
    <row r="35">
      <c r="A35" t="inlineStr">
        <is>
          <t>bull target_multiple</t>
        </is>
      </c>
      <c r="B35" t="n">
        <v>9.335827227999999</v>
      </c>
    </row>
    <row r="36">
      <c r="A36" t="inlineStr">
        <is>
          <t>bull multiple_outside_peer_range</t>
        </is>
      </c>
      <c r="B36" t="b">
        <v>0</v>
      </c>
    </row>
    <row r="37">
      <c r="A37" t="inlineStr">
        <is>
          <t>bull multiple_pt</t>
        </is>
      </c>
      <c r="B37" t="n">
        <v>75.23042925999999</v>
      </c>
    </row>
    <row r="38">
      <c r="A38" t="inlineStr">
        <is>
          <t>bull dcf_ev</t>
        </is>
      </c>
      <c r="B38" t="n">
        <v>313106.487</v>
      </c>
    </row>
    <row r="39">
      <c r="A39" t="inlineStr">
        <is>
          <t>bull dcf_pt</t>
        </is>
      </c>
      <c r="B39" t="n">
        <v>149.1419171</v>
      </c>
    </row>
    <row r="40">
      <c r="A40" t="inlineStr">
        <is>
          <t>bull dcf_used</t>
        </is>
      </c>
      <c r="B40" t="b">
        <v>1</v>
      </c>
    </row>
    <row r="41">
      <c r="A41" t="inlineStr">
        <is>
          <t>bull terminal_share</t>
        </is>
      </c>
      <c r="B41" t="n">
        <v>0.6156732439</v>
      </c>
    </row>
    <row r="42">
      <c r="A42" t="inlineStr">
        <is>
          <t>bull price_target</t>
        </is>
      </c>
      <c r="B42" t="n">
        <v>104.7950244</v>
      </c>
    </row>
    <row r="43">
      <c r="A43" t="inlineStr">
        <is>
          <t>DCF per share, WACC|g 0.0850|0.0250</t>
        </is>
      </c>
      <c r="B43" t="n">
        <v>130.1511617</v>
      </c>
    </row>
    <row r="44">
      <c r="A44" t="inlineStr">
        <is>
          <t>DCF per share, WACC|g 0.0850|0.0300</t>
        </is>
      </c>
      <c r="B44" t="n">
        <v>139.742296</v>
      </c>
    </row>
    <row r="45">
      <c r="A45" t="inlineStr">
        <is>
          <t>DCF per share, WACC|g 0.0850|0.0350</t>
        </is>
      </c>
      <c r="B45" t="n">
        <v>151.2339139</v>
      </c>
    </row>
    <row r="46">
      <c r="A46" t="inlineStr">
        <is>
          <t>DCF per share, WACC|g 0.0950|0.0250</t>
        </is>
      </c>
      <c r="B46" t="n">
        <v>110.1638995</v>
      </c>
    </row>
    <row r="47">
      <c r="A47" t="inlineStr">
        <is>
          <t>DCF per share, WACC|g 0.0950|0.0300</t>
        </is>
      </c>
      <c r="B47" t="n">
        <v>116.8060187</v>
      </c>
    </row>
    <row r="48">
      <c r="A48" t="inlineStr">
        <is>
          <t>DCF per share, WACC|g 0.0950|0.0350</t>
        </is>
      </c>
      <c r="B48" t="n">
        <v>124.5409214</v>
      </c>
    </row>
    <row r="49">
      <c r="A49" t="inlineStr">
        <is>
          <t>DCF per share, WACC|g 0.1050|0.0250</t>
        </is>
      </c>
      <c r="B49" t="n">
        <v>95.25085862</v>
      </c>
    </row>
    <row r="50">
      <c r="A50" t="inlineStr">
        <is>
          <t>DCF per share, WACC|g 0.1050|0.0300</t>
        </is>
      </c>
      <c r="B50" t="n">
        <v>100.0662466</v>
      </c>
    </row>
    <row r="51">
      <c r="A51" t="inlineStr">
        <is>
          <t>DCF per share, WACC|g 0.1050|0.0350</t>
        </is>
      </c>
      <c r="B51" t="n">
        <v>105.5578664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1" t="inlineStr">
        <is>
          <t>line</t>
        </is>
      </c>
      <c r="B1" s="1" t="inlineStr">
        <is>
          <t>old</t>
        </is>
      </c>
      <c r="C1" s="1" t="inlineStr">
        <is>
          <t>new</t>
        </is>
      </c>
      <c r="D1" s="1" t="inlineStr">
        <is>
          <t>type</t>
        </is>
      </c>
      <c r="E1" s="1" t="inlineStr">
        <is>
          <t>confidence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1" t="inlineStr">
        <is>
          <t>check</t>
        </is>
      </c>
      <c r="B1" s="1" t="inlineStr">
        <is>
          <t>status</t>
        </is>
      </c>
      <c r="C1" s="1" t="inlineStr">
        <is>
          <t>tested</t>
        </is>
      </c>
      <c r="D1" s="1" t="inlineStr">
        <is>
          <t>failures</t>
        </is>
      </c>
      <c r="E1" s="1" t="inlineStr">
        <is>
          <t>skipped</t>
        </is>
      </c>
    </row>
    <row r="2">
      <c r="A2" t="inlineStr">
        <is>
          <t>balance</t>
        </is>
      </c>
      <c r="B2" t="inlineStr">
        <is>
          <t>pass</t>
        </is>
      </c>
      <c r="C2" t="n">
        <v>34</v>
      </c>
      <c r="D2" t="inlineStr"/>
      <c r="E2" t="n">
        <v>0</v>
      </c>
    </row>
    <row r="3">
      <c r="A3" t="inlineStr">
        <is>
          <t>quarters_sum</t>
        </is>
      </c>
      <c r="B3" t="inlineStr">
        <is>
          <t>pass</t>
        </is>
      </c>
      <c r="C3" t="n">
        <v>24</v>
      </c>
      <c r="D3" t="inlineStr"/>
      <c r="E3" t="n">
        <v>3</v>
      </c>
    </row>
    <row r="4">
      <c r="A4" t="inlineStr">
        <is>
          <t>q4_ties</t>
        </is>
      </c>
      <c r="B4" t="inlineStr">
        <is>
          <t>pass</t>
        </is>
      </c>
      <c r="C4" t="n">
        <v>34</v>
      </c>
      <c r="D4" t="inlineStr"/>
      <c r="E4" t="n">
        <v>0</v>
      </c>
    </row>
    <row r="5">
      <c r="A5" t="inlineStr">
        <is>
          <t>take_rate</t>
        </is>
      </c>
      <c r="B5" t="inlineStr">
        <is>
          <t>pass</t>
        </is>
      </c>
      <c r="C5" t="n">
        <v>56</v>
      </c>
      <c r="D5" t="inlineStr"/>
      <c r="E5" t="n">
        <v>0</v>
      </c>
    </row>
    <row r="6">
      <c r="A6" t="inlineStr">
        <is>
          <t>segments_sum</t>
        </is>
      </c>
      <c r="B6" t="inlineStr">
        <is>
          <t>pass</t>
        </is>
      </c>
      <c r="C6" t="n">
        <v>65</v>
      </c>
      <c r="D6" t="inlineStr"/>
      <c r="E6" t="n">
        <v>10</v>
      </c>
    </row>
    <row r="7">
      <c r="A7" t="inlineStr">
        <is>
          <t>no_future_input</t>
        </is>
      </c>
      <c r="B7" t="inlineStr">
        <is>
          <t>pass</t>
        </is>
      </c>
      <c r="C7" t="n">
        <v>427</v>
      </c>
      <c r="D7" t="inlineStr"/>
      <c r="E7" t="n">
        <v>0</v>
      </c>
    </row>
    <row r="8">
      <c r="A8" t="inlineStr">
        <is>
          <t>formula_only</t>
        </is>
      </c>
      <c r="B8" t="inlineStr">
        <is>
          <t>pass</t>
        </is>
      </c>
      <c r="C8" t="n">
        <v>276</v>
      </c>
      <c r="D8" t="inlineStr"/>
      <c r="E8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80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1" t="inlineStr">
        <is>
          <t>id</t>
        </is>
      </c>
      <c r="B1" s="1" t="inlineStr">
        <is>
          <t>kind</t>
        </is>
      </c>
      <c r="C1" s="1" t="inlineStr">
        <is>
          <t>label or severity</t>
        </is>
      </c>
      <c r="D1" s="1" t="inlineStr">
        <is>
          <t>value or item</t>
        </is>
      </c>
      <c r="E1" s="1" t="inlineStr">
        <is>
          <t>source</t>
        </is>
      </c>
    </row>
    <row r="2">
      <c r="A2" t="inlineStr">
        <is>
          <t>E-1</t>
        </is>
      </c>
      <c r="B2" t="inlineStr">
        <is>
          <t>evidence</t>
        </is>
      </c>
      <c r="C2" t="inlineStr">
        <is>
          <t>Price</t>
        </is>
      </c>
      <c r="D2" t="inlineStr">
        <is>
          <t>$68.18</t>
        </is>
      </c>
      <c r="E2" t="inlineStr">
        <is>
          <t>px:UBER:2026-08-05</t>
        </is>
      </c>
    </row>
    <row r="3">
      <c r="A3" t="inlineStr">
        <is>
          <t>E-2</t>
        </is>
      </c>
      <c r="B3" t="inlineStr">
        <is>
          <t>evidence</t>
        </is>
      </c>
      <c r="C3" t="inlineStr">
        <is>
          <t>12-month price target</t>
        </is>
      </c>
      <c r="D3" t="inlineStr">
        <is>
          <t>$83.62</t>
        </is>
      </c>
      <c r="E3" t="inlineStr">
        <is>
          <t>model:UBER:2026-08-06:val-base:price_target</t>
        </is>
      </c>
    </row>
    <row r="4">
      <c r="A4" t="inlineStr">
        <is>
          <t>E-3</t>
        </is>
      </c>
      <c r="B4" t="inlineStr">
        <is>
          <t>evidence</t>
        </is>
      </c>
      <c r="C4" t="inlineStr">
        <is>
          <t>Implied return</t>
        </is>
      </c>
      <c r="D4" t="inlineStr">
        <is>
          <t>+22.6%</t>
        </is>
      </c>
      <c r="E4" t="inlineStr">
        <is>
          <t>model:UBER:2026-08-06:val-base:return</t>
        </is>
      </c>
    </row>
    <row r="5">
      <c r="A5" t="inlineStr">
        <is>
          <t>E-4</t>
        </is>
      </c>
      <c r="B5" t="inlineStr">
        <is>
          <t>evidence</t>
        </is>
      </c>
      <c r="C5" t="inlineStr">
        <is>
          <t>Draft rating</t>
        </is>
      </c>
      <c r="D5" t="inlineStr">
        <is>
          <t>Buy</t>
        </is>
      </c>
      <c r="E5" t="inlineStr">
        <is>
          <t>model:UBER:2026-08-06:val-base:rating</t>
        </is>
      </c>
    </row>
    <row r="6">
      <c r="A6" t="inlineStr">
        <is>
          <t>E-5</t>
        </is>
      </c>
      <c r="B6" t="inlineStr">
        <is>
          <t>evidence</t>
        </is>
      </c>
      <c r="C6" t="inlineStr">
        <is>
          <t>Market cap</t>
        </is>
      </c>
      <c r="D6" t="inlineStr">
        <is>
          <t>$139.8B</t>
        </is>
      </c>
      <c r="E6" t="inlineStr">
        <is>
          <t>computed: price × shares</t>
        </is>
      </c>
    </row>
    <row r="7">
      <c r="A7" t="inlineStr">
        <is>
          <t>E-6</t>
        </is>
      </c>
      <c r="B7" t="inlineStr">
        <is>
          <t>evidence</t>
        </is>
      </c>
      <c r="C7" t="inlineStr">
        <is>
          <t>Enterprise value</t>
        </is>
      </c>
      <c r="D7" t="inlineStr">
        <is>
          <t>$147.1B</t>
        </is>
      </c>
      <c r="E7" t="inlineStr">
        <is>
          <t>computed: market cap + net debt</t>
        </is>
      </c>
    </row>
    <row r="8">
      <c r="A8" t="inlineStr">
        <is>
          <t>E-7</t>
        </is>
      </c>
      <c r="B8" t="inlineStr">
        <is>
          <t>evidence</t>
        </is>
      </c>
      <c r="C8" t="inlineStr">
        <is>
          <t>52-week low</t>
        </is>
      </c>
      <c r="D8" t="inlineStr">
        <is>
          <t>$65.94</t>
        </is>
      </c>
      <c r="E8" t="inlineStr">
        <is>
          <t>px</t>
        </is>
      </c>
    </row>
    <row r="9">
      <c r="A9" t="inlineStr">
        <is>
          <t>E-8</t>
        </is>
      </c>
      <c r="B9" t="inlineStr">
        <is>
          <t>evidence</t>
        </is>
      </c>
      <c r="C9" t="inlineStr">
        <is>
          <t>52-week high</t>
        </is>
      </c>
      <c r="D9" t="inlineStr">
        <is>
          <t>$100.10</t>
        </is>
      </c>
      <c r="E9" t="inlineStr">
        <is>
          <t>px</t>
        </is>
      </c>
    </row>
    <row r="10">
      <c r="A10" t="inlineStr">
        <is>
          <t>E-9</t>
        </is>
      </c>
      <c r="B10" t="inlineStr">
        <is>
          <t>evidence</t>
        </is>
      </c>
      <c r="C10" t="inlineStr">
        <is>
          <t>2026Q2 Revenue actual</t>
        </is>
      </c>
      <c r="D10" t="inlineStr">
        <is>
          <t>$14.2B</t>
        </is>
      </c>
      <c r="E10" t="inlineStr">
        <is>
          <t>q:UBER:revenue:2026Q2</t>
        </is>
      </c>
    </row>
    <row r="11">
      <c r="A11" t="inlineStr">
        <is>
          <t>E-10</t>
        </is>
      </c>
      <c r="B11" t="inlineStr">
        <is>
          <t>evidence</t>
        </is>
      </c>
      <c r="C11" t="inlineStr">
        <is>
          <t>2026Q2 Revenue our estimate</t>
        </is>
      </c>
      <c r="D11" t="inlineStr">
        <is>
          <t>$14.1B</t>
        </is>
      </c>
      <c r="E11" t="inlineStr">
        <is>
          <t>model:UBER:2026-05-07:base:revenue.2026Q2</t>
        </is>
      </c>
    </row>
    <row r="12">
      <c r="A12" t="inlineStr">
        <is>
          <t>E-11</t>
        </is>
      </c>
      <c r="B12" t="inlineStr">
        <is>
          <t>evidence</t>
        </is>
      </c>
      <c r="C12" t="inlineStr">
        <is>
          <t>2026Q2 Revenue variance vs our estimate</t>
        </is>
      </c>
      <c r="D12" t="inlineStr">
        <is>
          <t>+0.8%</t>
        </is>
      </c>
      <c r="E12" t="inlineStr">
        <is>
          <t>computed from F-9, F-10</t>
        </is>
      </c>
    </row>
    <row r="13">
      <c r="A13" t="inlineStr">
        <is>
          <t>E-12</t>
        </is>
      </c>
      <c r="B13" t="inlineStr">
        <is>
          <t>evidence</t>
        </is>
      </c>
      <c r="C13" t="inlineStr">
        <is>
          <t>2026Q2 Revenue y/y change</t>
        </is>
      </c>
      <c r="D13" t="inlineStr">
        <is>
          <t>+12.2%</t>
        </is>
      </c>
      <c r="E13" t="inlineStr">
        <is>
          <t>computed from model:UBER:2026-08-06:base:revenue.2026Q2, model:UBER:2026-08-06:base:revenue.2025Q2</t>
        </is>
      </c>
    </row>
    <row r="14">
      <c r="A14" t="inlineStr">
        <is>
          <t>E-13</t>
        </is>
      </c>
      <c r="B14" t="inlineStr">
        <is>
          <t>evidence</t>
        </is>
      </c>
      <c r="C14" t="inlineStr">
        <is>
          <t>2026Q2 Adj. EBITDA actual</t>
        </is>
      </c>
      <c r="D14" t="inlineStr">
        <is>
          <t>$2.8B</t>
        </is>
      </c>
      <c r="E14" t="inlineStr">
        <is>
          <t>kpi:UBER:adj_ebitda:2026Q2</t>
        </is>
      </c>
    </row>
    <row r="15">
      <c r="A15" t="inlineStr">
        <is>
          <t>E-14</t>
        </is>
      </c>
      <c r="B15" t="inlineStr">
        <is>
          <t>evidence</t>
        </is>
      </c>
      <c r="C15" t="inlineStr">
        <is>
          <t>2026Q2 Adj. EBITDA our estimate</t>
        </is>
      </c>
      <c r="D15" t="inlineStr">
        <is>
          <t>$2.8B</t>
        </is>
      </c>
      <c r="E15" t="inlineStr">
        <is>
          <t>model:UBER:2026-05-07:base:adj_ebitda.2026Q2</t>
        </is>
      </c>
    </row>
    <row r="16">
      <c r="A16" t="inlineStr">
        <is>
          <t>E-15</t>
        </is>
      </c>
      <c r="B16" t="inlineStr">
        <is>
          <t>evidence</t>
        </is>
      </c>
      <c r="C16" t="inlineStr">
        <is>
          <t>2026Q2 Adj. EBITDA variance vs our estimate</t>
        </is>
      </c>
      <c r="D16" t="inlineStr">
        <is>
          <t>+2.5%</t>
        </is>
      </c>
      <c r="E16" t="inlineStr">
        <is>
          <t>computed from F-13, F-14</t>
        </is>
      </c>
    </row>
    <row r="17">
      <c r="A17" t="inlineStr">
        <is>
          <t>E-16</t>
        </is>
      </c>
      <c r="B17" t="inlineStr">
        <is>
          <t>evidence</t>
        </is>
      </c>
      <c r="C17" t="inlineStr">
        <is>
          <t>2026Q2 Adj. EBITDA guidance midpoint</t>
        </is>
      </c>
      <c r="D17" t="inlineStr">
        <is>
          <t>$2.8B</t>
        </is>
      </c>
      <c r="E17" t="inlineStr">
        <is>
          <t>guide:UBER:adj_ebitda:2026Q2</t>
        </is>
      </c>
    </row>
    <row r="18">
      <c r="A18" t="inlineStr">
        <is>
          <t>E-17</t>
        </is>
      </c>
      <c r="B18" t="inlineStr">
        <is>
          <t>evidence</t>
        </is>
      </c>
      <c r="C18" t="inlineStr">
        <is>
          <t>2026Q2 Adj. EBITDA variance vs guide midpoint</t>
        </is>
      </c>
      <c r="D18" t="inlineStr">
        <is>
          <t>+2.5%</t>
        </is>
      </c>
      <c r="E18" t="inlineStr">
        <is>
          <t>computed from F-13, F-16</t>
        </is>
      </c>
    </row>
    <row r="19">
      <c r="A19" t="inlineStr">
        <is>
          <t>E-18</t>
        </is>
      </c>
      <c r="B19" t="inlineStr">
        <is>
          <t>evidence</t>
        </is>
      </c>
      <c r="C19" t="inlineStr">
        <is>
          <t>2026Q2 Adj. EBITDA y/y change</t>
        </is>
      </c>
      <c r="D19" t="inlineStr">
        <is>
          <t>+33.0%</t>
        </is>
      </c>
      <c r="E19" t="inlineStr">
        <is>
          <t>computed from model:UBER:2026-08-06:base:adj_ebitda.2026Q2, model:UBER:2026-08-06:base:adj_ebitda.2025Q2</t>
        </is>
      </c>
    </row>
    <row r="20">
      <c r="A20" t="inlineStr">
        <is>
          <t>E-19</t>
        </is>
      </c>
      <c r="B20" t="inlineStr">
        <is>
          <t>evidence</t>
        </is>
      </c>
      <c r="C20" t="inlineStr">
        <is>
          <t>2026Q2 Gross bookings actual</t>
        </is>
      </c>
      <c r="D20" t="inlineStr">
        <is>
          <t>$58.0B</t>
        </is>
      </c>
      <c r="E20" t="inlineStr">
        <is>
          <t>kpi:UBER:gross_bookings:2026Q2</t>
        </is>
      </c>
    </row>
    <row r="21">
      <c r="A21" t="inlineStr">
        <is>
          <t>E-20</t>
        </is>
      </c>
      <c r="B21" t="inlineStr">
        <is>
          <t>evidence</t>
        </is>
      </c>
      <c r="C21" t="inlineStr">
        <is>
          <t>2026Q2 Gross bookings our estimate</t>
        </is>
      </c>
      <c r="D21" t="inlineStr">
        <is>
          <t>$57.0B</t>
        </is>
      </c>
      <c r="E21" t="inlineStr">
        <is>
          <t>model:UBER:2026-05-07:base:gross_bookings.2026Q2</t>
        </is>
      </c>
    </row>
    <row r="22">
      <c r="A22" t="inlineStr">
        <is>
          <t>E-21</t>
        </is>
      </c>
      <c r="B22" t="inlineStr">
        <is>
          <t>evidence</t>
        </is>
      </c>
      <c r="C22" t="inlineStr">
        <is>
          <t>2026Q2 Gross bookings variance vs our estimate</t>
        </is>
      </c>
      <c r="D22" t="inlineStr">
        <is>
          <t>+1.8%</t>
        </is>
      </c>
      <c r="E22" t="inlineStr">
        <is>
          <t>computed from F-19, F-20</t>
        </is>
      </c>
    </row>
    <row r="23">
      <c r="A23" t="inlineStr">
        <is>
          <t>E-22</t>
        </is>
      </c>
      <c r="B23" t="inlineStr">
        <is>
          <t>evidence</t>
        </is>
      </c>
      <c r="C23" t="inlineStr">
        <is>
          <t>2026Q2 Gross bookings guidance midpoint</t>
        </is>
      </c>
      <c r="D23" t="inlineStr">
        <is>
          <t>$57.0B</t>
        </is>
      </c>
      <c r="E23" t="inlineStr">
        <is>
          <t>guide:UBER:gross_bookings:2026Q2</t>
        </is>
      </c>
    </row>
    <row r="24">
      <c r="A24" t="inlineStr">
        <is>
          <t>E-23</t>
        </is>
      </c>
      <c r="B24" t="inlineStr">
        <is>
          <t>evidence</t>
        </is>
      </c>
      <c r="C24" t="inlineStr">
        <is>
          <t>2026Q2 Gross bookings variance vs guide midpoint</t>
        </is>
      </c>
      <c r="D24" t="inlineStr">
        <is>
          <t>+1.8%</t>
        </is>
      </c>
      <c r="E24" t="inlineStr">
        <is>
          <t>computed from F-19, F-22</t>
        </is>
      </c>
    </row>
    <row r="25">
      <c r="A25" t="inlineStr">
        <is>
          <t>E-24</t>
        </is>
      </c>
      <c r="B25" t="inlineStr">
        <is>
          <t>evidence</t>
        </is>
      </c>
      <c r="C25" t="inlineStr">
        <is>
          <t>2026Q2 Gross bookings y/y change</t>
        </is>
      </c>
      <c r="D25" t="inlineStr">
        <is>
          <t>+24.1%</t>
        </is>
      </c>
      <c r="E25" t="inlineStr">
        <is>
          <t>computed from model:UBER:2026-08-06:base:gross_bookings.2026Q2, model:UBER:2026-08-06:base:gross_bookings.2025Q2</t>
        </is>
      </c>
    </row>
    <row r="26">
      <c r="A26" t="inlineStr">
        <is>
          <t>E-25</t>
        </is>
      </c>
      <c r="B26" t="inlineStr">
        <is>
          <t>evidence</t>
        </is>
      </c>
      <c r="C26" t="inlineStr">
        <is>
          <t>2026Q2 Diluted EPS actual</t>
        </is>
      </c>
      <c r="D26" t="inlineStr">
        <is>
          <t>$1.17</t>
        </is>
      </c>
      <c r="E26" t="inlineStr">
        <is>
          <t>q:UBER:eps_diluted:2026Q2</t>
        </is>
      </c>
    </row>
    <row r="27">
      <c r="A27" t="inlineStr">
        <is>
          <t>E-26</t>
        </is>
      </c>
      <c r="B27" t="inlineStr">
        <is>
          <t>evidence</t>
        </is>
      </c>
      <c r="C27" t="inlineStr">
        <is>
          <t>2026Q2 Diluted EPS our estimate</t>
        </is>
      </c>
      <c r="D27" t="inlineStr">
        <is>
          <t>$0.89</t>
        </is>
      </c>
      <c r="E27" t="inlineStr">
        <is>
          <t>model:UBER:2026-05-07:base:eps_diluted.2026Q2</t>
        </is>
      </c>
    </row>
    <row r="28">
      <c r="A28" t="inlineStr">
        <is>
          <t>E-27</t>
        </is>
      </c>
      <c r="B28" t="inlineStr">
        <is>
          <t>evidence</t>
        </is>
      </c>
      <c r="C28" t="inlineStr">
        <is>
          <t>2026Q2 Diluted EPS variance vs our estimate</t>
        </is>
      </c>
      <c r="D28" t="inlineStr">
        <is>
          <t>+32.1%</t>
        </is>
      </c>
      <c r="E28" t="inlineStr">
        <is>
          <t>computed from F-25, F-26</t>
        </is>
      </c>
    </row>
    <row r="29">
      <c r="A29" t="inlineStr">
        <is>
          <t>E-28</t>
        </is>
      </c>
      <c r="B29" t="inlineStr">
        <is>
          <t>evidence</t>
        </is>
      </c>
      <c r="C29" t="inlineStr">
        <is>
          <t>2026Q2 Diluted EPS y/y change</t>
        </is>
      </c>
      <c r="D29" t="inlineStr">
        <is>
          <t>+85.7%</t>
        </is>
      </c>
      <c r="E29" t="inlineStr">
        <is>
          <t>computed from model:UBER:2026-08-06:base:eps_diluted.2026Q2, model:UBER:2026-08-06:base:eps_diluted.2025Q2</t>
        </is>
      </c>
    </row>
    <row r="30">
      <c r="A30" t="inlineStr">
        <is>
          <t>E-29</t>
        </is>
      </c>
      <c r="B30" t="inlineStr">
        <is>
          <t>evidence</t>
        </is>
      </c>
      <c r="C30" t="inlineStr">
        <is>
          <t>2026Q3 gross_bookings guidance midpoint</t>
        </is>
      </c>
      <c r="D30" t="inlineStr">
        <is>
          <t>$59.2B</t>
        </is>
      </c>
      <c r="E30" t="inlineStr">
        <is>
          <t>guide:UBER:gross_bookings:2026Q3</t>
        </is>
      </c>
    </row>
    <row r="31">
      <c r="A31" t="inlineStr">
        <is>
          <t>E-30</t>
        </is>
      </c>
      <c r="B31" t="inlineStr">
        <is>
          <t>evidence</t>
        </is>
      </c>
      <c r="C31" t="inlineStr">
        <is>
          <t>2026Q3 Gross bookings our forecast</t>
        </is>
      </c>
      <c r="D31" t="inlineStr">
        <is>
          <t>$59.2B</t>
        </is>
      </c>
      <c r="E31" t="inlineStr">
        <is>
          <t>model:UBER:2026-08-06:base:gross_bookings.2026Q3</t>
        </is>
      </c>
    </row>
    <row r="32">
      <c r="A32" t="inlineStr">
        <is>
          <t>E-31</t>
        </is>
      </c>
      <c r="B32" t="inlineStr">
        <is>
          <t>evidence</t>
        </is>
      </c>
      <c r="C32" t="inlineStr">
        <is>
          <t>2026Q3 gross_bookings our forecast vs midpoint</t>
        </is>
      </c>
      <c r="D32" t="inlineStr">
        <is>
          <t>0.0%</t>
        </is>
      </c>
      <c r="E32" t="inlineStr">
        <is>
          <t>computed</t>
        </is>
      </c>
    </row>
    <row r="33">
      <c r="A33" t="inlineStr">
        <is>
          <t>E-32</t>
        </is>
      </c>
      <c r="B33" t="inlineStr">
        <is>
          <t>evidence</t>
        </is>
      </c>
      <c r="C33" t="inlineStr">
        <is>
          <t>2026Q3 adj_ebitda guidance midpoint</t>
        </is>
      </c>
      <c r="D33" t="inlineStr">
        <is>
          <t>$2.9B</t>
        </is>
      </c>
      <c r="E33" t="inlineStr">
        <is>
          <t>guide:UBER:adj_ebitda:2026Q3</t>
        </is>
      </c>
    </row>
    <row r="34">
      <c r="A34" t="inlineStr">
        <is>
          <t>E-33</t>
        </is>
      </c>
      <c r="B34" t="inlineStr">
        <is>
          <t>evidence</t>
        </is>
      </c>
      <c r="C34" t="inlineStr">
        <is>
          <t>2026Q3 Adj. EBITDA our forecast</t>
        </is>
      </c>
      <c r="D34" t="inlineStr">
        <is>
          <t>$2.9B</t>
        </is>
      </c>
      <c r="E34" t="inlineStr">
        <is>
          <t>model:UBER:2026-08-06:base:adj_ebitda.2026Q3</t>
        </is>
      </c>
    </row>
    <row r="35">
      <c r="A35" t="inlineStr">
        <is>
          <t>E-34</t>
        </is>
      </c>
      <c r="B35" t="inlineStr">
        <is>
          <t>evidence</t>
        </is>
      </c>
      <c r="C35" t="inlineStr">
        <is>
          <t>2026Q3 adj_ebitda our forecast vs midpoint</t>
        </is>
      </c>
      <c r="D35" t="inlineStr">
        <is>
          <t>0.0%</t>
        </is>
      </c>
      <c r="E35" t="inlineStr">
        <is>
          <t>computed</t>
        </is>
      </c>
    </row>
    <row r="36">
      <c r="A36" t="inlineStr">
        <is>
          <t>E-35</t>
        </is>
      </c>
      <c r="B36" t="inlineStr">
        <is>
          <t>evidence</t>
        </is>
      </c>
      <c r="C36" t="inlineStr">
        <is>
          <t>2026Q2 Trips</t>
        </is>
      </c>
      <c r="D36" t="inlineStr">
        <is>
          <t>3.87B</t>
        </is>
      </c>
      <c r="E36" t="inlineStr">
        <is>
          <t>kpi:UBER:trips:2026Q2</t>
        </is>
      </c>
    </row>
    <row r="37">
      <c r="A37" t="inlineStr">
        <is>
          <t>E-36</t>
        </is>
      </c>
      <c r="B37" t="inlineStr">
        <is>
          <t>evidence</t>
        </is>
      </c>
      <c r="C37" t="inlineStr">
        <is>
          <t>2025Q2 Trips</t>
        </is>
      </c>
      <c r="D37" t="inlineStr">
        <is>
          <t>3.27B</t>
        </is>
      </c>
      <c r="E37" t="inlineStr">
        <is>
          <t>kpi:UBER:trips:2025Q2</t>
        </is>
      </c>
    </row>
    <row r="38">
      <c r="A38" t="inlineStr">
        <is>
          <t>E-37</t>
        </is>
      </c>
      <c r="B38" t="inlineStr">
        <is>
          <t>evidence</t>
        </is>
      </c>
      <c r="C38" t="inlineStr">
        <is>
          <t>2026Q2 Trips y/y change</t>
        </is>
      </c>
      <c r="D38" t="inlineStr">
        <is>
          <t>+18.3%</t>
        </is>
      </c>
      <c r="E38" t="inlineStr">
        <is>
          <t>computed</t>
        </is>
      </c>
    </row>
    <row r="39">
      <c r="A39" t="inlineStr">
        <is>
          <t>E-38</t>
        </is>
      </c>
      <c r="B39" t="inlineStr">
        <is>
          <t>evidence</t>
        </is>
      </c>
      <c r="C39" t="inlineStr">
        <is>
          <t>2026Q2 Gross bookings</t>
        </is>
      </c>
      <c r="D39" t="inlineStr">
        <is>
          <t>$58.0B</t>
        </is>
      </c>
      <c r="E39" t="inlineStr">
        <is>
          <t>kpi:UBER:gross_bookings:2026Q2</t>
        </is>
      </c>
    </row>
    <row r="40">
      <c r="A40" t="inlineStr">
        <is>
          <t>E-39</t>
        </is>
      </c>
      <c r="B40" t="inlineStr">
        <is>
          <t>evidence</t>
        </is>
      </c>
      <c r="C40" t="inlineStr">
        <is>
          <t>2025Q2 Gross bookings</t>
        </is>
      </c>
      <c r="D40" t="inlineStr">
        <is>
          <t>$46.8B</t>
        </is>
      </c>
      <c r="E40" t="inlineStr">
        <is>
          <t>kpi:UBER:gross_bookings:2025Q2</t>
        </is>
      </c>
    </row>
    <row r="41">
      <c r="A41" t="inlineStr">
        <is>
          <t>E-40</t>
        </is>
      </c>
      <c r="B41" t="inlineStr">
        <is>
          <t>evidence</t>
        </is>
      </c>
      <c r="C41" t="inlineStr">
        <is>
          <t>2026Q2 Gross bookings y/y change</t>
        </is>
      </c>
      <c r="D41" t="inlineStr">
        <is>
          <t>+24.1%</t>
        </is>
      </c>
      <c r="E41" t="inlineStr">
        <is>
          <t>computed</t>
        </is>
      </c>
    </row>
    <row r="42">
      <c r="A42" t="inlineStr">
        <is>
          <t>E-41</t>
        </is>
      </c>
      <c r="B42" t="inlineStr">
        <is>
          <t>evidence</t>
        </is>
      </c>
      <c r="C42" t="inlineStr">
        <is>
          <t>2026Q2 Take rate</t>
        </is>
      </c>
      <c r="D42" t="inlineStr">
        <is>
          <t>24.5%</t>
        </is>
      </c>
      <c r="E42" t="inlineStr">
        <is>
          <t>model:UBER:2026-08-06:base:take_rate.2026Q2</t>
        </is>
      </c>
    </row>
    <row r="43">
      <c r="A43" t="inlineStr">
        <is>
          <t>E-42</t>
        </is>
      </c>
      <c r="B43" t="inlineStr">
        <is>
          <t>evidence</t>
        </is>
      </c>
      <c r="C43" t="inlineStr">
        <is>
          <t>2025Q2 Take rate</t>
        </is>
      </c>
      <c r="D43" t="inlineStr">
        <is>
          <t>27.1%</t>
        </is>
      </c>
      <c r="E43" t="inlineStr">
        <is>
          <t>model:UBER:2026-08-06:base:take_rate.2025Q2</t>
        </is>
      </c>
    </row>
    <row r="44">
      <c r="A44" t="inlineStr">
        <is>
          <t>E-43</t>
        </is>
      </c>
      <c r="B44" t="inlineStr">
        <is>
          <t>evidence</t>
        </is>
      </c>
      <c r="C44" t="inlineStr">
        <is>
          <t>2026Q2 Take rate y/y change</t>
        </is>
      </c>
      <c r="D44" t="inlineStr">
        <is>
          <t>-2.6 pts</t>
        </is>
      </c>
      <c r="E44" t="inlineStr">
        <is>
          <t>computed</t>
        </is>
      </c>
    </row>
    <row r="45">
      <c r="A45" t="inlineStr">
        <is>
          <t>E-44</t>
        </is>
      </c>
      <c r="B45" t="inlineStr">
        <is>
          <t>evidence</t>
        </is>
      </c>
      <c r="C45" t="inlineStr">
        <is>
          <t>2026Q2 Adj. EBITDA margin</t>
        </is>
      </c>
      <c r="D45" t="inlineStr">
        <is>
          <t>19.9%</t>
        </is>
      </c>
      <c r="E45" t="inlineStr">
        <is>
          <t>model:UBER:2026-08-06:base:adj_ebitda_margin.2026Q2</t>
        </is>
      </c>
    </row>
    <row r="46">
      <c r="A46" t="inlineStr">
        <is>
          <t>E-45</t>
        </is>
      </c>
      <c r="B46" t="inlineStr">
        <is>
          <t>evidence</t>
        </is>
      </c>
      <c r="C46" t="inlineStr">
        <is>
          <t>2025Q2 Adj. EBITDA margin</t>
        </is>
      </c>
      <c r="D46" t="inlineStr">
        <is>
          <t>16.7%</t>
        </is>
      </c>
      <c r="E46" t="inlineStr">
        <is>
          <t>model:UBER:2026-08-06:base:adj_ebitda_margin.2025Q2</t>
        </is>
      </c>
    </row>
    <row r="47">
      <c r="A47" t="inlineStr">
        <is>
          <t>E-46</t>
        </is>
      </c>
      <c r="B47" t="inlineStr">
        <is>
          <t>evidence</t>
        </is>
      </c>
      <c r="C47" t="inlineStr">
        <is>
          <t>2026Q2 Adj. EBITDA margin y/y change</t>
        </is>
      </c>
      <c r="D47" t="inlineStr">
        <is>
          <t>+3.1 pts</t>
        </is>
      </c>
      <c r="E47" t="inlineStr">
        <is>
          <t>computed</t>
        </is>
      </c>
    </row>
    <row r="48">
      <c r="A48" t="inlineStr">
        <is>
          <t>E-47</t>
        </is>
      </c>
      <c r="B48" t="inlineStr">
        <is>
          <t>evidence</t>
        </is>
      </c>
      <c r="C48" t="inlineStr">
        <is>
          <t>2026Q2 operating_cash_flow</t>
        </is>
      </c>
      <c r="D48" t="inlineStr">
        <is>
          <t>$2.9B</t>
        </is>
      </c>
      <c r="E48" t="inlineStr">
        <is>
          <t>q:UBER:operating_cash_flow:2026Q2</t>
        </is>
      </c>
    </row>
    <row r="49">
      <c r="A49" t="inlineStr">
        <is>
          <t>E-48</t>
        </is>
      </c>
      <c r="B49" t="inlineStr">
        <is>
          <t>evidence</t>
        </is>
      </c>
      <c r="C49" t="inlineStr">
        <is>
          <t>2025Q2 operating_cash_flow</t>
        </is>
      </c>
      <c r="D49" t="inlineStr">
        <is>
          <t>$2.6B</t>
        </is>
      </c>
      <c r="E49" t="inlineStr">
        <is>
          <t>q:UBER:operating_cash_flow:2025Q2</t>
        </is>
      </c>
    </row>
    <row r="50">
      <c r="A50" t="inlineStr">
        <is>
          <t>E-49</t>
        </is>
      </c>
      <c r="B50" t="inlineStr">
        <is>
          <t>evidence</t>
        </is>
      </c>
      <c r="C50" t="inlineStr">
        <is>
          <t>2026Q2 operating_cash_flow y/y change</t>
        </is>
      </c>
      <c r="D50" t="inlineStr">
        <is>
          <t>+11.6%</t>
        </is>
      </c>
      <c r="E50" t="inlineStr">
        <is>
          <t>computed</t>
        </is>
      </c>
    </row>
    <row r="51">
      <c r="A51" t="inlineStr">
        <is>
          <t>E-50</t>
        </is>
      </c>
      <c r="B51" t="inlineStr">
        <is>
          <t>evidence</t>
        </is>
      </c>
      <c r="C51" t="inlineStr">
        <is>
          <t>2026Q2 capex</t>
        </is>
      </c>
      <c r="D51" t="inlineStr">
        <is>
          <t>$70M</t>
        </is>
      </c>
      <c r="E51" t="inlineStr">
        <is>
          <t>q:UBER:capex:2026Q2</t>
        </is>
      </c>
    </row>
    <row r="52">
      <c r="A52" t="inlineStr">
        <is>
          <t>E-51</t>
        </is>
      </c>
      <c r="B52" t="inlineStr">
        <is>
          <t>evidence</t>
        </is>
      </c>
      <c r="C52" t="inlineStr">
        <is>
          <t>2025Q2 capex</t>
        </is>
      </c>
      <c r="D52" t="inlineStr">
        <is>
          <t>$89M</t>
        </is>
      </c>
      <c r="E52" t="inlineStr">
        <is>
          <t>q:UBER:capex:2025Q2</t>
        </is>
      </c>
    </row>
    <row r="53">
      <c r="A53" t="inlineStr">
        <is>
          <t>E-52</t>
        </is>
      </c>
      <c r="B53" t="inlineStr">
        <is>
          <t>evidence</t>
        </is>
      </c>
      <c r="C53" t="inlineStr">
        <is>
          <t>2026Q2 capex y/y change</t>
        </is>
      </c>
      <c r="D53" t="inlineStr">
        <is>
          <t>-21.3%</t>
        </is>
      </c>
      <c r="E53" t="inlineStr">
        <is>
          <t>computed</t>
        </is>
      </c>
    </row>
    <row r="54">
      <c r="A54" t="inlineStr">
        <is>
          <t>E-53</t>
        </is>
      </c>
      <c r="B54" t="inlineStr">
        <is>
          <t>evidence</t>
        </is>
      </c>
      <c r="C54" t="inlineStr">
        <is>
          <t>2026Q2 Free cash flow</t>
        </is>
      </c>
      <c r="D54" t="inlineStr">
        <is>
          <t>$2.8B</t>
        </is>
      </c>
      <c r="E54" t="inlineStr">
        <is>
          <t>model:UBER:2026-08-06:base:free_cash_flow.2026Q2</t>
        </is>
      </c>
    </row>
    <row r="55">
      <c r="A55" t="inlineStr">
        <is>
          <t>E-54</t>
        </is>
      </c>
      <c r="B55" t="inlineStr">
        <is>
          <t>evidence</t>
        </is>
      </c>
      <c r="C55" t="inlineStr">
        <is>
          <t>2025Q2 Free cash flow</t>
        </is>
      </c>
      <c r="D55" t="inlineStr">
        <is>
          <t>$2.5B</t>
        </is>
      </c>
      <c r="E55" t="inlineStr">
        <is>
          <t>model:UBER:2026-08-06:base:free_cash_flow.2025Q2</t>
        </is>
      </c>
    </row>
    <row r="56">
      <c r="A56" t="inlineStr">
        <is>
          <t>E-55</t>
        </is>
      </c>
      <c r="B56" t="inlineStr">
        <is>
          <t>evidence</t>
        </is>
      </c>
      <c r="C56" t="inlineStr">
        <is>
          <t>2026Q2 Free cash flow y/y change</t>
        </is>
      </c>
      <c r="D56" t="inlineStr">
        <is>
          <t>+12.8%</t>
        </is>
      </c>
      <c r="E56" t="inlineStr">
        <is>
          <t>computed</t>
        </is>
      </c>
    </row>
    <row r="57">
      <c r="A57" t="inlineStr">
        <is>
          <t>E-56</t>
        </is>
      </c>
      <c r="B57" t="inlineStr">
        <is>
          <t>evidence</t>
        </is>
      </c>
      <c r="C57" t="inlineStr">
        <is>
          <t>2026Q2 SBC</t>
        </is>
      </c>
      <c r="D57" t="inlineStr">
        <is>
          <t>$550M</t>
        </is>
      </c>
      <c r="E57" t="inlineStr">
        <is>
          <t>q:UBER:sbc:2026Q2</t>
        </is>
      </c>
    </row>
    <row r="58">
      <c r="A58" t="inlineStr">
        <is>
          <t>E-57</t>
        </is>
      </c>
      <c r="B58" t="inlineStr">
        <is>
          <t>evidence</t>
        </is>
      </c>
      <c r="C58" t="inlineStr">
        <is>
          <t>2025Q2 SBC</t>
        </is>
      </c>
      <c r="D58" t="inlineStr">
        <is>
          <t>$475M</t>
        </is>
      </c>
      <c r="E58" t="inlineStr">
        <is>
          <t>q:UBER:sbc:2025Q2</t>
        </is>
      </c>
    </row>
    <row r="59">
      <c r="A59" t="inlineStr">
        <is>
          <t>E-58</t>
        </is>
      </c>
      <c r="B59" t="inlineStr">
        <is>
          <t>evidence</t>
        </is>
      </c>
      <c r="C59" t="inlineStr">
        <is>
          <t>2026Q2 SBC y/y change</t>
        </is>
      </c>
      <c r="D59" t="inlineStr">
        <is>
          <t>+15.8%</t>
        </is>
      </c>
      <c r="E59" t="inlineStr">
        <is>
          <t>computed</t>
        </is>
      </c>
    </row>
    <row r="60">
      <c r="A60" t="inlineStr">
        <is>
          <t>E-59</t>
        </is>
      </c>
      <c r="B60" t="inlineStr">
        <is>
          <t>evidence</t>
        </is>
      </c>
      <c r="C60" t="inlineStr">
        <is>
          <t>assumption gb_g_mobility.g0</t>
        </is>
      </c>
      <c r="D60" t="inlineStr">
        <is>
          <t>22.0%</t>
        </is>
      </c>
      <c r="E60" t="inlineStr">
        <is>
          <t>model:UBER:2026-08-06:base (assumption)</t>
        </is>
      </c>
    </row>
    <row r="61">
      <c r="A61" t="inlineStr">
        <is>
          <t>E-60</t>
        </is>
      </c>
      <c r="B61" t="inlineStr">
        <is>
          <t>evidence</t>
        </is>
      </c>
      <c r="C61" t="inlineStr">
        <is>
          <t>evidence kpi:UBER:revenue.delivery:2026Q1</t>
        </is>
      </c>
      <c r="D61" t="inlineStr">
        <is>
          <t>$5.1B</t>
        </is>
      </c>
      <c r="E61" t="inlineStr">
        <is>
          <t>kpi:UBER:revenue.delivery:2026Q1</t>
        </is>
      </c>
    </row>
    <row r="62">
      <c r="A62" t="inlineStr">
        <is>
          <t>E-61</t>
        </is>
      </c>
      <c r="B62" t="inlineStr">
        <is>
          <t>evidence</t>
        </is>
      </c>
      <c r="C62" t="inlineStr">
        <is>
          <t>evidence kpi:UBER:gross_bookings.delivery:2026Q1</t>
        </is>
      </c>
      <c r="D62" t="inlineStr">
        <is>
          <t>$26.0B</t>
        </is>
      </c>
      <c r="E62" t="inlineStr">
        <is>
          <t>kpi:UBER:gross_bookings.delivery:2026Q1</t>
        </is>
      </c>
    </row>
    <row r="63">
      <c r="A63" t="inlineStr">
        <is>
          <t>E-62</t>
        </is>
      </c>
      <c r="B63" t="inlineStr">
        <is>
          <t>evidence</t>
        </is>
      </c>
      <c r="C63" t="inlineStr">
        <is>
          <t>evidence kpi:UBER:revenue.delivery:2025Q4</t>
        </is>
      </c>
      <c r="D63" t="inlineStr">
        <is>
          <t>$4.9B</t>
        </is>
      </c>
      <c r="E63" t="inlineStr">
        <is>
          <t>kpi:UBER:revenue.delivery:2025Q4</t>
        </is>
      </c>
    </row>
    <row r="64">
      <c r="A64" t="inlineStr">
        <is>
          <t>E-63</t>
        </is>
      </c>
      <c r="B64" t="inlineStr">
        <is>
          <t>evidence</t>
        </is>
      </c>
      <c r="C64" t="inlineStr">
        <is>
          <t>evidence kpi:UBER:gross_bookings.delivery:2025Q4</t>
        </is>
      </c>
      <c r="D64" t="inlineStr">
        <is>
          <t>$25.4B</t>
        </is>
      </c>
      <c r="E64" t="inlineStr">
        <is>
          <t>kpi:UBER:gross_bookings.delivery:2025Q4</t>
        </is>
      </c>
    </row>
    <row r="65">
      <c r="A65" t="inlineStr">
        <is>
          <t>E-64</t>
        </is>
      </c>
      <c r="B65" t="inlineStr">
        <is>
          <t>evidence</t>
        </is>
      </c>
      <c r="C65" t="inlineStr">
        <is>
          <t>assumption gb_g_delivery.g0</t>
        </is>
      </c>
      <c r="D65" t="inlineStr">
        <is>
          <t>26.4%</t>
        </is>
      </c>
      <c r="E65" t="inlineStr">
        <is>
          <t>model:UBER:2026-08-06:base (assumption)</t>
        </is>
      </c>
    </row>
    <row r="66">
      <c r="A66" t="inlineStr">
        <is>
          <t>E-65</t>
        </is>
      </c>
      <c r="B66" t="inlineStr">
        <is>
          <t>evidence</t>
        </is>
      </c>
      <c r="C66" t="inlineStr">
        <is>
          <t>evidence kpi:UBER:revenue.mobility:2025Q4</t>
        </is>
      </c>
      <c r="D66" t="inlineStr">
        <is>
          <t>$8.2B</t>
        </is>
      </c>
      <c r="E66" t="inlineStr">
        <is>
          <t>kpi:UBER:revenue.mobility:2025Q4</t>
        </is>
      </c>
    </row>
    <row r="67">
      <c r="A67" t="inlineStr">
        <is>
          <t>E-66</t>
        </is>
      </c>
      <c r="B67" t="inlineStr">
        <is>
          <t>evidence</t>
        </is>
      </c>
      <c r="C67" t="inlineStr">
        <is>
          <t>evidence kpi:UBER:gross_bookings.mobility:2025Q4</t>
        </is>
      </c>
      <c r="D67" t="inlineStr">
        <is>
          <t>$27.4B</t>
        </is>
      </c>
      <c r="E67" t="inlineStr">
        <is>
          <t>kpi:UBER:gross_bookings.mobility:2025Q4</t>
        </is>
      </c>
    </row>
    <row r="68">
      <c r="A68" t="inlineStr">
        <is>
          <t>E-67</t>
        </is>
      </c>
      <c r="B68" t="inlineStr">
        <is>
          <t>evidence</t>
        </is>
      </c>
      <c r="C68" t="inlineStr">
        <is>
          <t>evidence kpi:UBER:revenue.mobility:2026Q1</t>
        </is>
      </c>
      <c r="D68" t="inlineStr">
        <is>
          <t>$6.8B</t>
        </is>
      </c>
      <c r="E68" t="inlineStr">
        <is>
          <t>kpi:UBER:revenue.mobility:2026Q1</t>
        </is>
      </c>
    </row>
    <row r="69">
      <c r="A69" t="inlineStr">
        <is>
          <t>E-68</t>
        </is>
      </c>
      <c r="B69" t="inlineStr">
        <is>
          <t>evidence</t>
        </is>
      </c>
      <c r="C69" t="inlineStr">
        <is>
          <t>evidence kpi:UBER:gross_bookings.mobility:2026Q1</t>
        </is>
      </c>
      <c r="D69" t="inlineStr">
        <is>
          <t>$26.4B</t>
        </is>
      </c>
      <c r="E69" t="inlineStr">
        <is>
          <t>kpi:UBER:gross_bookings.mobility:2026Q1</t>
        </is>
      </c>
    </row>
    <row r="70">
      <c r="A70" t="inlineStr">
        <is>
          <t>E-69</t>
        </is>
      </c>
      <c r="B70" t="inlineStr">
        <is>
          <t>evidence</t>
        </is>
      </c>
      <c r="C70" t="inlineStr">
        <is>
          <t>evidence kpi:UBER:revenue.mobility:2025Q3</t>
        </is>
      </c>
      <c r="D70" t="inlineStr">
        <is>
          <t>$7.7B</t>
        </is>
      </c>
      <c r="E70" t="inlineStr">
        <is>
          <t>kpi:UBER:revenue.mobility:2025Q3</t>
        </is>
      </c>
    </row>
    <row r="71">
      <c r="A71" t="inlineStr">
        <is>
          <t>E-70</t>
        </is>
      </c>
      <c r="B71" t="inlineStr">
        <is>
          <t>evidence</t>
        </is>
      </c>
      <c r="C71" t="inlineStr">
        <is>
          <t>evidence kpi:UBER:gross_bookings.mobility:2025Q3</t>
        </is>
      </c>
      <c r="D71" t="inlineStr">
        <is>
          <t>$25.1B</t>
        </is>
      </c>
      <c r="E71" t="inlineStr">
        <is>
          <t>kpi:UBER:gross_bookings.mobility:2025Q3</t>
        </is>
      </c>
    </row>
    <row r="72">
      <c r="A72" t="inlineStr">
        <is>
          <t>E-71</t>
        </is>
      </c>
      <c r="B72" t="inlineStr">
        <is>
          <t>evidence</t>
        </is>
      </c>
      <c r="C72" t="inlineStr">
        <is>
          <t>evidence kpi:UBER:revenue.mobility:2025Q2</t>
        </is>
      </c>
      <c r="D72" t="inlineStr">
        <is>
          <t>$7.3B</t>
        </is>
      </c>
      <c r="E72" t="inlineStr">
        <is>
          <t>kpi:UBER:revenue.mobility:2025Q2</t>
        </is>
      </c>
    </row>
    <row r="73">
      <c r="A73" t="inlineStr">
        <is>
          <t>E-72</t>
        </is>
      </c>
      <c r="B73" t="inlineStr">
        <is>
          <t>evidence</t>
        </is>
      </c>
      <c r="C73" t="inlineStr">
        <is>
          <t>evidence kpi:UBER:gross_bookings.mobility:2025Q2</t>
        </is>
      </c>
      <c r="D73" t="inlineStr">
        <is>
          <t>$23.8B</t>
        </is>
      </c>
      <c r="E73" t="inlineStr">
        <is>
          <t>kpi:UBER:gross_bookings.mobility:2025Q2</t>
        </is>
      </c>
    </row>
    <row r="74">
      <c r="A74" t="inlineStr">
        <is>
          <t>E-73</t>
        </is>
      </c>
      <c r="B74" t="inlineStr">
        <is>
          <t>evidence</t>
        </is>
      </c>
      <c r="C74" t="inlineStr">
        <is>
          <t>evidence kpi:UBER:revenue.mobility:2025Q1</t>
        </is>
      </c>
      <c r="D74" t="inlineStr">
        <is>
          <t>$6.5B</t>
        </is>
      </c>
      <c r="E74" t="inlineStr">
        <is>
          <t>kpi:UBER:revenue.mobility:2025Q1</t>
        </is>
      </c>
    </row>
    <row r="75">
      <c r="A75" t="inlineStr">
        <is>
          <t>E-74</t>
        </is>
      </c>
      <c r="B75" t="inlineStr">
        <is>
          <t>evidence</t>
        </is>
      </c>
      <c r="C75" t="inlineStr">
        <is>
          <t>evidence kpi:UBER:gross_bookings.mobility:2025Q1</t>
        </is>
      </c>
      <c r="D75" t="inlineStr">
        <is>
          <t>$21.2B</t>
        </is>
      </c>
      <c r="E75" t="inlineStr">
        <is>
          <t>kpi:UBER:gross_bookings.mobility:2025Q1</t>
        </is>
      </c>
    </row>
    <row r="76">
      <c r="A76" t="inlineStr">
        <is>
          <t>E-75</t>
        </is>
      </c>
      <c r="B76" t="inlineStr">
        <is>
          <t>evidence</t>
        </is>
      </c>
      <c r="C76" t="inlineStr">
        <is>
          <t>evidence kpi:UBER:revenue.mobility:2024Q4</t>
        </is>
      </c>
      <c r="D76" t="inlineStr">
        <is>
          <t>$6.9B</t>
        </is>
      </c>
      <c r="E76" t="inlineStr">
        <is>
          <t>kpi:UBER:revenue.mobility:2024Q4</t>
        </is>
      </c>
    </row>
    <row r="77">
      <c r="A77" t="inlineStr">
        <is>
          <t>E-76</t>
        </is>
      </c>
      <c r="B77" t="inlineStr">
        <is>
          <t>evidence</t>
        </is>
      </c>
      <c r="C77" t="inlineStr">
        <is>
          <t>evidence kpi:UBER:gross_bookings.mobility:2024Q4</t>
        </is>
      </c>
      <c r="D77" t="inlineStr">
        <is>
          <t>$22.8B</t>
        </is>
      </c>
      <c r="E77" t="inlineStr">
        <is>
          <t>kpi:UBER:gross_bookings.mobility:2024Q4</t>
        </is>
      </c>
    </row>
    <row r="78">
      <c r="A78" t="inlineStr">
        <is>
          <t>E-77</t>
        </is>
      </c>
      <c r="B78" t="inlineStr">
        <is>
          <t>evidence</t>
        </is>
      </c>
      <c r="C78" t="inlineStr">
        <is>
          <t>evidence kpi:UBER:revenue.mobility:2024Q3</t>
        </is>
      </c>
      <c r="D78" t="inlineStr">
        <is>
          <t>$6.4B</t>
        </is>
      </c>
      <c r="E78" t="inlineStr">
        <is>
          <t>kpi:UBER:revenue.mobility:2024Q3</t>
        </is>
      </c>
    </row>
    <row r="79">
      <c r="A79" t="inlineStr">
        <is>
          <t>E-78</t>
        </is>
      </c>
      <c r="B79" t="inlineStr">
        <is>
          <t>evidence</t>
        </is>
      </c>
      <c r="C79" t="inlineStr">
        <is>
          <t>evidence kpi:UBER:gross_bookings.mobility:2024Q3</t>
        </is>
      </c>
      <c r="D79" t="inlineStr">
        <is>
          <t>$21.0B</t>
        </is>
      </c>
      <c r="E79" t="inlineStr">
        <is>
          <t>kpi:UBER:gross_bookings.mobility:2024Q3</t>
        </is>
      </c>
    </row>
    <row r="80">
      <c r="A80" t="inlineStr">
        <is>
          <t>E-79</t>
        </is>
      </c>
      <c r="B80" t="inlineStr">
        <is>
          <t>evidence</t>
        </is>
      </c>
      <c r="C80" t="inlineStr">
        <is>
          <t>evidence kpi:UBER:revenue.mobility:2024Q2</t>
        </is>
      </c>
      <c r="D80" t="inlineStr">
        <is>
          <t>$6.1B</t>
        </is>
      </c>
      <c r="E80" t="inlineStr">
        <is>
          <t>kpi:UBER:revenue.mobility:2024Q2</t>
        </is>
      </c>
    </row>
    <row r="81">
      <c r="A81" t="inlineStr">
        <is>
          <t>E-80</t>
        </is>
      </c>
      <c r="B81" t="inlineStr">
        <is>
          <t>evidence</t>
        </is>
      </c>
      <c r="C81" t="inlineStr">
        <is>
          <t>evidence kpi:UBER:gross_bookings.mobility:2024Q2</t>
        </is>
      </c>
      <c r="D81" t="inlineStr">
        <is>
          <t>$20.6B</t>
        </is>
      </c>
      <c r="E81" t="inlineStr">
        <is>
          <t>kpi:UBER:gross_bookings.mobility:2024Q2</t>
        </is>
      </c>
    </row>
    <row r="82">
      <c r="A82" t="inlineStr">
        <is>
          <t>E-81</t>
        </is>
      </c>
      <c r="B82" t="inlineStr">
        <is>
          <t>evidence</t>
        </is>
      </c>
      <c r="C82" t="inlineStr">
        <is>
          <t>assumption take_rate_mobility.shift0</t>
        </is>
      </c>
      <c r="D82" t="inlineStr">
        <is>
          <t>-5.3%</t>
        </is>
      </c>
      <c r="E82" t="inlineStr">
        <is>
          <t>model:UBER:2026-08-06:base (assumption)</t>
        </is>
      </c>
    </row>
    <row r="83">
      <c r="A83" t="inlineStr">
        <is>
          <t>E-82</t>
        </is>
      </c>
      <c r="B83" t="inlineStr">
        <is>
          <t>evidence</t>
        </is>
      </c>
      <c r="C83" t="inlineStr">
        <is>
          <t>FY2024 Revenue</t>
        </is>
      </c>
      <c r="D83" t="inlineStr">
        <is>
          <t>$44.0B</t>
        </is>
      </c>
      <c r="E83" t="inlineStr">
        <is>
          <t>model:UBER:2026-08-06:base:revenue.FY2024</t>
        </is>
      </c>
    </row>
    <row r="84">
      <c r="A84" t="inlineStr">
        <is>
          <t>E-83</t>
        </is>
      </c>
      <c r="B84" t="inlineStr">
        <is>
          <t>evidence</t>
        </is>
      </c>
      <c r="C84" t="inlineStr">
        <is>
          <t>FY2025 Revenue</t>
        </is>
      </c>
      <c r="D84" t="inlineStr">
        <is>
          <t>$52.0B</t>
        </is>
      </c>
      <c r="E84" t="inlineStr">
        <is>
          <t>model:UBER:2026-08-06:base:revenue.FY2025</t>
        </is>
      </c>
    </row>
    <row r="85">
      <c r="A85" t="inlineStr">
        <is>
          <t>E-84</t>
        </is>
      </c>
      <c r="B85" t="inlineStr">
        <is>
          <t>evidence</t>
        </is>
      </c>
      <c r="C85" t="inlineStr">
        <is>
          <t>FY2026 Revenue</t>
        </is>
      </c>
      <c r="D85" t="inlineStr">
        <is>
          <t>$57.3B</t>
        </is>
      </c>
      <c r="E85" t="inlineStr">
        <is>
          <t>model:UBER:2026-08-06:base:revenue.FY2026</t>
        </is>
      </c>
    </row>
    <row r="86">
      <c r="A86" t="inlineStr">
        <is>
          <t>E-85</t>
        </is>
      </c>
      <c r="B86" t="inlineStr">
        <is>
          <t>evidence</t>
        </is>
      </c>
      <c r="C86" t="inlineStr">
        <is>
          <t>FY2027 Revenue</t>
        </is>
      </c>
      <c r="D86" t="inlineStr">
        <is>
          <t>$63.9B</t>
        </is>
      </c>
      <c r="E86" t="inlineStr">
        <is>
          <t>model:UBER:2026-08-06:base:revenue.FY2027</t>
        </is>
      </c>
    </row>
    <row r="87">
      <c r="A87" t="inlineStr">
        <is>
          <t>E-86</t>
        </is>
      </c>
      <c r="B87" t="inlineStr">
        <is>
          <t>evidence</t>
        </is>
      </c>
      <c r="C87" t="inlineStr">
        <is>
          <t>FY2024 Gross bookings</t>
        </is>
      </c>
      <c r="D87" t="inlineStr">
        <is>
          <t>$162.8B</t>
        </is>
      </c>
      <c r="E87" t="inlineStr">
        <is>
          <t>model:UBER:2026-08-06:base:gross_bookings.FY2024</t>
        </is>
      </c>
    </row>
    <row r="88">
      <c r="A88" t="inlineStr">
        <is>
          <t>E-87</t>
        </is>
      </c>
      <c r="B88" t="inlineStr">
        <is>
          <t>evidence</t>
        </is>
      </c>
      <c r="C88" t="inlineStr">
        <is>
          <t>FY2025 Gross bookings</t>
        </is>
      </c>
      <c r="D88" t="inlineStr">
        <is>
          <t>$193.5B</t>
        </is>
      </c>
      <c r="E88" t="inlineStr">
        <is>
          <t>model:UBER:2026-08-06:base:gross_bookings.FY2025</t>
        </is>
      </c>
    </row>
    <row r="89">
      <c r="A89" t="inlineStr">
        <is>
          <t>E-88</t>
        </is>
      </c>
      <c r="B89" t="inlineStr">
        <is>
          <t>evidence</t>
        </is>
      </c>
      <c r="C89" t="inlineStr">
        <is>
          <t>FY2026 Gross bookings</t>
        </is>
      </c>
      <c r="D89" t="inlineStr">
        <is>
          <t>$234.2B</t>
        </is>
      </c>
      <c r="E89" t="inlineStr">
        <is>
          <t>model:UBER:2026-08-06:base:gross_bookings.FY2026</t>
        </is>
      </c>
    </row>
    <row r="90">
      <c r="A90" t="inlineStr">
        <is>
          <t>E-89</t>
        </is>
      </c>
      <c r="B90" t="inlineStr">
        <is>
          <t>evidence</t>
        </is>
      </c>
      <c r="C90" t="inlineStr">
        <is>
          <t>FY2027 Gross bookings</t>
        </is>
      </c>
      <c r="D90" t="inlineStr">
        <is>
          <t>$261.6B</t>
        </is>
      </c>
      <c r="E90" t="inlineStr">
        <is>
          <t>model:UBER:2026-08-06:base:gross_bookings.FY2027</t>
        </is>
      </c>
    </row>
    <row r="91">
      <c r="A91" t="inlineStr">
        <is>
          <t>E-90</t>
        </is>
      </c>
      <c r="B91" t="inlineStr">
        <is>
          <t>evidence</t>
        </is>
      </c>
      <c r="C91" t="inlineStr">
        <is>
          <t>FY2024 Adj. EBITDA</t>
        </is>
      </c>
      <c r="D91" t="inlineStr">
        <is>
          <t>$6.5B</t>
        </is>
      </c>
      <c r="E91" t="inlineStr">
        <is>
          <t>model:UBER:2026-08-06:base:adj_ebitda.FY2024</t>
        </is>
      </c>
    </row>
    <row r="92">
      <c r="A92" t="inlineStr">
        <is>
          <t>E-91</t>
        </is>
      </c>
      <c r="B92" t="inlineStr">
        <is>
          <t>evidence</t>
        </is>
      </c>
      <c r="C92" t="inlineStr">
        <is>
          <t>FY2025 Adj. EBITDA</t>
        </is>
      </c>
      <c r="D92" t="inlineStr">
        <is>
          <t>$8.7B</t>
        </is>
      </c>
      <c r="E92" t="inlineStr">
        <is>
          <t>model:UBER:2026-08-06:base:adj_ebitda.FY2025</t>
        </is>
      </c>
    </row>
    <row r="93">
      <c r="A93" t="inlineStr">
        <is>
          <t>E-92</t>
        </is>
      </c>
      <c r="B93" t="inlineStr">
        <is>
          <t>evidence</t>
        </is>
      </c>
      <c r="C93" t="inlineStr">
        <is>
          <t>FY2026 Adj. EBITDA</t>
        </is>
      </c>
      <c r="D93" t="inlineStr">
        <is>
          <t>$11.3B</t>
        </is>
      </c>
      <c r="E93" t="inlineStr">
        <is>
          <t>model:UBER:2026-08-06:base:adj_ebitda.FY2026</t>
        </is>
      </c>
    </row>
    <row r="94">
      <c r="A94" t="inlineStr">
        <is>
          <t>E-93</t>
        </is>
      </c>
      <c r="B94" t="inlineStr">
        <is>
          <t>evidence</t>
        </is>
      </c>
      <c r="C94" t="inlineStr">
        <is>
          <t>FY2027 Adj. EBITDA</t>
        </is>
      </c>
      <c r="D94" t="inlineStr">
        <is>
          <t>$15.2B</t>
        </is>
      </c>
      <c r="E94" t="inlineStr">
        <is>
          <t>model:UBER:2026-08-06:base:adj_ebitda.FY2027</t>
        </is>
      </c>
    </row>
    <row r="95">
      <c r="A95" t="inlineStr">
        <is>
          <t>E-94</t>
        </is>
      </c>
      <c r="B95" t="inlineStr">
        <is>
          <t>evidence</t>
        </is>
      </c>
      <c r="C95" t="inlineStr">
        <is>
          <t>FY2024 Adj. EBITDA margin</t>
        </is>
      </c>
      <c r="D95" t="inlineStr">
        <is>
          <t>14.7%</t>
        </is>
      </c>
      <c r="E95" t="inlineStr">
        <is>
          <t>model:UBER:2026-08-06:base:adj_ebitda_margin.FY2024</t>
        </is>
      </c>
    </row>
    <row r="96">
      <c r="A96" t="inlineStr">
        <is>
          <t>E-95</t>
        </is>
      </c>
      <c r="B96" t="inlineStr">
        <is>
          <t>evidence</t>
        </is>
      </c>
      <c r="C96" t="inlineStr">
        <is>
          <t>FY2025 Adj. EBITDA margin</t>
        </is>
      </c>
      <c r="D96" t="inlineStr">
        <is>
          <t>16.8%</t>
        </is>
      </c>
      <c r="E96" t="inlineStr">
        <is>
          <t>model:UBER:2026-08-06:base:adj_ebitda_margin.FY2025</t>
        </is>
      </c>
    </row>
    <row r="97">
      <c r="A97" t="inlineStr">
        <is>
          <t>E-96</t>
        </is>
      </c>
      <c r="B97" t="inlineStr">
        <is>
          <t>evidence</t>
        </is>
      </c>
      <c r="C97" t="inlineStr">
        <is>
          <t>FY2026 Adj. EBITDA margin</t>
        </is>
      </c>
      <c r="D97" t="inlineStr">
        <is>
          <t>19.8%</t>
        </is>
      </c>
      <c r="E97" t="inlineStr">
        <is>
          <t>model:UBER:2026-08-06:base:adj_ebitda_margin.FY2026</t>
        </is>
      </c>
    </row>
    <row r="98">
      <c r="A98" t="inlineStr">
        <is>
          <t>E-97</t>
        </is>
      </c>
      <c r="B98" t="inlineStr">
        <is>
          <t>evidence</t>
        </is>
      </c>
      <c r="C98" t="inlineStr">
        <is>
          <t>FY2027 Adj. EBITDA margin</t>
        </is>
      </c>
      <c r="D98" t="inlineStr">
        <is>
          <t>23.9%</t>
        </is>
      </c>
      <c r="E98" t="inlineStr">
        <is>
          <t>model:UBER:2026-08-06:base:adj_ebitda_margin.FY2027</t>
        </is>
      </c>
    </row>
    <row r="99">
      <c r="A99" t="inlineStr">
        <is>
          <t>E-98</t>
        </is>
      </c>
      <c r="B99" t="inlineStr">
        <is>
          <t>evidence</t>
        </is>
      </c>
      <c r="C99" t="inlineStr">
        <is>
          <t>FY2024 GAAP operating income</t>
        </is>
      </c>
      <c r="D99" t="inlineStr">
        <is>
          <t>$2.8B</t>
        </is>
      </c>
      <c r="E99" t="inlineStr">
        <is>
          <t>model:UBER:2026-08-06:base:operating_income.FY2024</t>
        </is>
      </c>
    </row>
    <row r="100">
      <c r="A100" t="inlineStr">
        <is>
          <t>E-99</t>
        </is>
      </c>
      <c r="B100" t="inlineStr">
        <is>
          <t>evidence</t>
        </is>
      </c>
      <c r="C100" t="inlineStr">
        <is>
          <t>FY2025 GAAP operating income</t>
        </is>
      </c>
      <c r="D100" t="inlineStr">
        <is>
          <t>$5.6B</t>
        </is>
      </c>
      <c r="E100" t="inlineStr">
        <is>
          <t>model:UBER:2026-08-06:base:operating_income.FY2025</t>
        </is>
      </c>
    </row>
    <row r="101">
      <c r="A101" t="inlineStr">
        <is>
          <t>E-100</t>
        </is>
      </c>
      <c r="B101" t="inlineStr">
        <is>
          <t>evidence</t>
        </is>
      </c>
      <c r="C101" t="inlineStr">
        <is>
          <t>FY2026 GAAP operating income</t>
        </is>
      </c>
      <c r="D101" t="inlineStr">
        <is>
          <t>$8.4B</t>
        </is>
      </c>
      <c r="E101" t="inlineStr">
        <is>
          <t>model:UBER:2026-08-06:base:operating_income.FY2026</t>
        </is>
      </c>
    </row>
    <row r="102">
      <c r="A102" t="inlineStr">
        <is>
          <t>E-101</t>
        </is>
      </c>
      <c r="B102" t="inlineStr">
        <is>
          <t>evidence</t>
        </is>
      </c>
      <c r="C102" t="inlineStr">
        <is>
          <t>FY2027 GAAP operating income</t>
        </is>
      </c>
      <c r="D102" t="inlineStr">
        <is>
          <t>$12.1B</t>
        </is>
      </c>
      <c r="E102" t="inlineStr">
        <is>
          <t>model:UBER:2026-08-06:base:operating_income.FY2027</t>
        </is>
      </c>
    </row>
    <row r="103">
      <c r="A103" t="inlineStr">
        <is>
          <t>E-102</t>
        </is>
      </c>
      <c r="B103" t="inlineStr">
        <is>
          <t>evidence</t>
        </is>
      </c>
      <c r="C103" t="inlineStr">
        <is>
          <t>FY2024 SBC</t>
        </is>
      </c>
      <c r="D103" t="inlineStr">
        <is>
          <t>$1.8B</t>
        </is>
      </c>
      <c r="E103" t="inlineStr">
        <is>
          <t>model:UBER:2026-08-06:base:sbc.FY2024</t>
        </is>
      </c>
    </row>
    <row r="104">
      <c r="A104" t="inlineStr">
        <is>
          <t>E-103</t>
        </is>
      </c>
      <c r="B104" t="inlineStr">
        <is>
          <t>evidence</t>
        </is>
      </c>
      <c r="C104" t="inlineStr">
        <is>
          <t>FY2025 SBC</t>
        </is>
      </c>
      <c r="D104" t="inlineStr">
        <is>
          <t>$1.8B</t>
        </is>
      </c>
      <c r="E104" t="inlineStr">
        <is>
          <t>model:UBER:2026-08-06:base:sbc.FY2025</t>
        </is>
      </c>
    </row>
    <row r="105">
      <c r="A105" t="inlineStr">
        <is>
          <t>E-104</t>
        </is>
      </c>
      <c r="B105" t="inlineStr">
        <is>
          <t>evidence</t>
        </is>
      </c>
      <c r="C105" t="inlineStr">
        <is>
          <t>FY2026 SBC</t>
        </is>
      </c>
      <c r="D105" t="inlineStr">
        <is>
          <t>$2.0B</t>
        </is>
      </c>
      <c r="E105" t="inlineStr">
        <is>
          <t>model:UBER:2026-08-06:base:sbc.FY2026</t>
        </is>
      </c>
    </row>
    <row r="106">
      <c r="A106" t="inlineStr">
        <is>
          <t>E-105</t>
        </is>
      </c>
      <c r="B106" t="inlineStr">
        <is>
          <t>evidence</t>
        </is>
      </c>
      <c r="C106" t="inlineStr">
        <is>
          <t>FY2027 SBC</t>
        </is>
      </c>
      <c r="D106" t="inlineStr">
        <is>
          <t>$2.2B</t>
        </is>
      </c>
      <c r="E106" t="inlineStr">
        <is>
          <t>model:UBER:2026-08-06:base:sbc.FY2027</t>
        </is>
      </c>
    </row>
    <row r="107">
      <c r="A107" t="inlineStr">
        <is>
          <t>E-106</t>
        </is>
      </c>
      <c r="B107" t="inlineStr">
        <is>
          <t>evidence</t>
        </is>
      </c>
      <c r="C107" t="inlineStr">
        <is>
          <t>FY2024 Diluted EPS</t>
        </is>
      </c>
      <c r="D107" t="inlineStr">
        <is>
          <t>$4.56</t>
        </is>
      </c>
      <c r="E107" t="inlineStr">
        <is>
          <t>q:UBER:eps_diluted:FY2024</t>
        </is>
      </c>
    </row>
    <row r="108">
      <c r="A108" t="inlineStr">
        <is>
          <t>E-107</t>
        </is>
      </c>
      <c r="B108" t="inlineStr">
        <is>
          <t>evidence</t>
        </is>
      </c>
      <c r="C108" t="inlineStr">
        <is>
          <t>FY2025 Diluted EPS</t>
        </is>
      </c>
      <c r="D108" t="inlineStr">
        <is>
          <t>$4.73</t>
        </is>
      </c>
      <c r="E108" t="inlineStr">
        <is>
          <t>q:UBER:eps_diluted:FY2025</t>
        </is>
      </c>
    </row>
    <row r="109">
      <c r="A109" t="inlineStr">
        <is>
          <t>E-108</t>
        </is>
      </c>
      <c r="B109" t="inlineStr">
        <is>
          <t>evidence</t>
        </is>
      </c>
      <c r="C109" t="inlineStr">
        <is>
          <t>FY2026 Diluted EPS</t>
        </is>
      </c>
      <c r="D109" t="inlineStr">
        <is>
          <t>$3.34</t>
        </is>
      </c>
      <c r="E109" t="inlineStr">
        <is>
          <t>model:UBER:2026-08-06:base:eps_diluted.FY2026</t>
        </is>
      </c>
    </row>
    <row r="110">
      <c r="A110" t="inlineStr">
        <is>
          <t>E-109</t>
        </is>
      </c>
      <c r="B110" t="inlineStr">
        <is>
          <t>evidence</t>
        </is>
      </c>
      <c r="C110" t="inlineStr">
        <is>
          <t>FY2027 Diluted EPS</t>
        </is>
      </c>
      <c r="D110" t="inlineStr">
        <is>
          <t>$5.55</t>
        </is>
      </c>
      <c r="E110" t="inlineStr">
        <is>
          <t>model:UBER:2026-08-06:base:eps_diluted.FY2027</t>
        </is>
      </c>
    </row>
    <row r="111">
      <c r="A111" t="inlineStr">
        <is>
          <t>E-110</t>
        </is>
      </c>
      <c r="B111" t="inlineStr">
        <is>
          <t>evidence</t>
        </is>
      </c>
      <c r="C111" t="inlineStr">
        <is>
          <t>FY2024 Free cash flow</t>
        </is>
      </c>
      <c r="D111" t="inlineStr">
        <is>
          <t>$6.9B</t>
        </is>
      </c>
      <c r="E111" t="inlineStr">
        <is>
          <t>model:UBER:2026-08-06:base:free_cash_flow.FY2024</t>
        </is>
      </c>
    </row>
    <row r="112">
      <c r="A112" t="inlineStr">
        <is>
          <t>E-111</t>
        </is>
      </c>
      <c r="B112" t="inlineStr">
        <is>
          <t>evidence</t>
        </is>
      </c>
      <c r="C112" t="inlineStr">
        <is>
          <t>FY2025 Free cash flow</t>
        </is>
      </c>
      <c r="D112" t="inlineStr">
        <is>
          <t>$9.8B</t>
        </is>
      </c>
      <c r="E112" t="inlineStr">
        <is>
          <t>model:UBER:2026-08-06:base:free_cash_flow.FY2025</t>
        </is>
      </c>
    </row>
    <row r="113">
      <c r="A113" t="inlineStr">
        <is>
          <t>E-112</t>
        </is>
      </c>
      <c r="B113" t="inlineStr">
        <is>
          <t>evidence</t>
        </is>
      </c>
      <c r="C113" t="inlineStr">
        <is>
          <t>FY2026 Free cash flow</t>
        </is>
      </c>
      <c r="D113" t="inlineStr">
        <is>
          <t>$10.4B</t>
        </is>
      </c>
      <c r="E113" t="inlineStr">
        <is>
          <t>model:UBER:2026-08-06:base:free_cash_flow.FY2026</t>
        </is>
      </c>
    </row>
    <row r="114">
      <c r="A114" t="inlineStr">
        <is>
          <t>E-113</t>
        </is>
      </c>
      <c r="B114" t="inlineStr">
        <is>
          <t>evidence</t>
        </is>
      </c>
      <c r="C114" t="inlineStr">
        <is>
          <t>FY2027 Free cash flow</t>
        </is>
      </c>
      <c r="D114" t="inlineStr">
        <is>
          <t>$13.7B</t>
        </is>
      </c>
      <c r="E114" t="inlineStr">
        <is>
          <t>model:UBER:2026-08-06:base:free_cash_flow.FY2027</t>
        </is>
      </c>
    </row>
    <row r="115">
      <c r="A115" t="inlineStr">
        <is>
          <t>E-114</t>
        </is>
      </c>
      <c r="B115" t="inlineStr">
        <is>
          <t>evidence</t>
        </is>
      </c>
      <c r="C115" t="inlineStr">
        <is>
          <t>FY2024 Diluted shares</t>
        </is>
      </c>
      <c r="D115" t="inlineStr">
        <is>
          <t>2.15B</t>
        </is>
      </c>
      <c r="E115" t="inlineStr">
        <is>
          <t>q:UBER:shares_diluted:FY2024</t>
        </is>
      </c>
    </row>
    <row r="116">
      <c r="A116" t="inlineStr">
        <is>
          <t>E-115</t>
        </is>
      </c>
      <c r="B116" t="inlineStr">
        <is>
          <t>evidence</t>
        </is>
      </c>
      <c r="C116" t="inlineStr">
        <is>
          <t>FY2025 Diluted shares</t>
        </is>
      </c>
      <c r="D116" t="inlineStr">
        <is>
          <t>2.12B</t>
        </is>
      </c>
      <c r="E116" t="inlineStr">
        <is>
          <t>q:UBER:shares_diluted:FY2025</t>
        </is>
      </c>
    </row>
    <row r="117">
      <c r="A117" t="inlineStr">
        <is>
          <t>E-116</t>
        </is>
      </c>
      <c r="B117" t="inlineStr">
        <is>
          <t>evidence</t>
        </is>
      </c>
      <c r="C117" t="inlineStr">
        <is>
          <t>FY2026 Diluted shares</t>
        </is>
      </c>
      <c r="D117" t="inlineStr">
        <is>
          <t>2.04B</t>
        </is>
      </c>
      <c r="E117" t="inlineStr">
        <is>
          <t>model:UBER:2026-08-06:base:shares_diluted.FY2026</t>
        </is>
      </c>
    </row>
    <row r="118">
      <c r="A118" t="inlineStr">
        <is>
          <t>E-117</t>
        </is>
      </c>
      <c r="B118" t="inlineStr">
        <is>
          <t>evidence</t>
        </is>
      </c>
      <c r="C118" t="inlineStr">
        <is>
          <t>FY2027 Diluted shares</t>
        </is>
      </c>
      <c r="D118" t="inlineStr">
        <is>
          <t>1.97B</t>
        </is>
      </c>
      <c r="E118" t="inlineStr">
        <is>
          <t>model:UBER:2026-08-06:base:shares_diluted.FY2027</t>
        </is>
      </c>
    </row>
    <row r="119">
      <c r="A119" t="inlineStr">
        <is>
          <t>E-118</t>
        </is>
      </c>
      <c r="B119" t="inlineStr">
        <is>
          <t>evidence</t>
        </is>
      </c>
      <c r="C119" t="inlineStr">
        <is>
          <t>CART 2027E EV/EBITDA</t>
        </is>
      </c>
      <c r="D119" t="inlineStr">
        <is>
          <t>8.1x</t>
        </is>
      </c>
      <c r="E119" t="inlineStr">
        <is>
          <t>model:CART:2026-08-06:val-base:ev_to_ebitda</t>
        </is>
      </c>
    </row>
    <row r="120">
      <c r="A120" t="inlineStr">
        <is>
          <t>E-119</t>
        </is>
      </c>
      <c r="B120" t="inlineStr">
        <is>
          <t>evidence</t>
        </is>
      </c>
      <c r="C120" t="inlineStr">
        <is>
          <t>DASH 2027E EV/EBITDA</t>
        </is>
      </c>
      <c r="D120" t="inlineStr">
        <is>
          <t>19.2x</t>
        </is>
      </c>
      <c r="E120" t="inlineStr">
        <is>
          <t>model:DASH:2026-08-06:val-base:ev_to_ebitda</t>
        </is>
      </c>
    </row>
    <row r="121">
      <c r="A121" t="inlineStr">
        <is>
          <t>E-120</t>
        </is>
      </c>
      <c r="B121" t="inlineStr">
        <is>
          <t>evidence</t>
        </is>
      </c>
      <c r="C121" t="inlineStr">
        <is>
          <t>LYFT 2027E EV/EBITDA</t>
        </is>
      </c>
      <c r="D121" t="inlineStr">
        <is>
          <t>7.4x</t>
        </is>
      </c>
      <c r="E121" t="inlineStr">
        <is>
          <t>model:LYFT:2026-08-06:val-base:ev_to_ebitda</t>
        </is>
      </c>
    </row>
    <row r="122">
      <c r="A122" t="inlineStr">
        <is>
          <t>E-121</t>
        </is>
      </c>
      <c r="B122" t="inlineStr">
        <is>
          <t>evidence</t>
        </is>
      </c>
      <c r="C122" t="inlineStr">
        <is>
          <t>Peer median 2027E EV/EBITDA</t>
        </is>
      </c>
      <c r="D122" t="inlineStr">
        <is>
          <t>8.1x</t>
        </is>
      </c>
      <c r="E122" t="inlineStr">
        <is>
          <t>computed</t>
        </is>
      </c>
    </row>
    <row r="123">
      <c r="A123" t="inlineStr">
        <is>
          <t>E-122</t>
        </is>
      </c>
      <c r="B123" t="inlineStr">
        <is>
          <t>evidence</t>
        </is>
      </c>
      <c r="C123" t="inlineStr">
        <is>
          <t>UBER 2027E EV/EBITDA</t>
        </is>
      </c>
      <c r="D123" t="inlineStr">
        <is>
          <t>9.7x</t>
        </is>
      </c>
      <c r="E123" t="inlineStr">
        <is>
          <t>model:UBER:2026-08-06:val-base:ev_to_ebitda</t>
        </is>
      </c>
    </row>
    <row r="124">
      <c r="A124" t="inlineStr">
        <is>
          <t>E-123</t>
        </is>
      </c>
      <c r="B124" t="inlineStr">
        <is>
          <t>evidence</t>
        </is>
      </c>
      <c r="C124" t="inlineStr">
        <is>
          <t>WACC</t>
        </is>
      </c>
      <c r="D124" t="inlineStr">
        <is>
          <t>9.5%</t>
        </is>
      </c>
      <c r="E124" t="inlineStr">
        <is>
          <t>macro:DGS10:2026-08-04, erp:damodaran:2026-08-01</t>
        </is>
      </c>
    </row>
    <row r="125">
      <c r="A125" t="inlineStr">
        <is>
          <t>E-124</t>
        </is>
      </c>
      <c r="B125" t="inlineStr">
        <is>
          <t>evidence</t>
        </is>
      </c>
      <c r="C125" t="inlineStr">
        <is>
          <t>Beta</t>
        </is>
      </c>
      <c r="D125" t="inlineStr">
        <is>
          <t>1.14</t>
        </is>
      </c>
      <c r="E125" t="inlineStr">
        <is>
          <t>px:SPY monthly returns</t>
        </is>
      </c>
    </row>
    <row r="126">
      <c r="A126" t="inlineStr">
        <is>
          <t>E-125</t>
        </is>
      </c>
      <c r="B126" t="inlineStr">
        <is>
          <t>evidence</t>
        </is>
      </c>
      <c r="C126" t="inlineStr">
        <is>
          <t>bear price target</t>
        </is>
      </c>
      <c r="D126" t="inlineStr">
        <is>
          <t>$68.14</t>
        </is>
      </c>
      <c r="E126" t="inlineStr">
        <is>
          <t>model:UBER:2026-08-06:val-bear:price_target</t>
        </is>
      </c>
    </row>
    <row r="127">
      <c r="A127" t="inlineStr">
        <is>
          <t>E-126</t>
        </is>
      </c>
      <c r="B127" t="inlineStr">
        <is>
          <t>evidence</t>
        </is>
      </c>
      <c r="C127" t="inlineStr">
        <is>
          <t>bear target multiple</t>
        </is>
      </c>
      <c r="D127" t="inlineStr">
        <is>
          <t>6.9x</t>
        </is>
      </c>
      <c r="E127" t="inlineStr">
        <is>
          <t>computed</t>
        </is>
      </c>
    </row>
    <row r="128">
      <c r="A128" t="inlineStr">
        <is>
          <t>E-127</t>
        </is>
      </c>
      <c r="B128" t="inlineStr">
        <is>
          <t>evidence</t>
        </is>
      </c>
      <c r="C128" t="inlineStr">
        <is>
          <t>bear DCF value per share</t>
        </is>
      </c>
      <c r="D128" t="inlineStr">
        <is>
          <t>$101.59</t>
        </is>
      </c>
      <c r="E128" t="inlineStr">
        <is>
          <t>computed</t>
        </is>
      </c>
    </row>
    <row r="129">
      <c r="A129" t="inlineStr">
        <is>
          <t>E-128</t>
        </is>
      </c>
      <c r="B129" t="inlineStr">
        <is>
          <t>evidence</t>
        </is>
      </c>
      <c r="C129" t="inlineStr">
        <is>
          <t>bear scenario weight</t>
        </is>
      </c>
      <c r="D129" t="inlineStr">
        <is>
          <t>25%</t>
        </is>
      </c>
      <c r="E129" t="inlineStr">
        <is>
          <t>research.yaml</t>
        </is>
      </c>
    </row>
    <row r="130">
      <c r="A130" t="inlineStr">
        <is>
          <t>E-129</t>
        </is>
      </c>
      <c r="B130" t="inlineStr">
        <is>
          <t>evidence</t>
        </is>
      </c>
      <c r="C130" t="inlineStr">
        <is>
          <t>base price target</t>
        </is>
      </c>
      <c r="D130" t="inlineStr">
        <is>
          <t>$80.78</t>
        </is>
      </c>
      <c r="E130" t="inlineStr">
        <is>
          <t>model:UBER:2026-08-06:val-base:price_target</t>
        </is>
      </c>
    </row>
    <row r="131">
      <c r="A131" t="inlineStr">
        <is>
          <t>E-130</t>
        </is>
      </c>
      <c r="B131" t="inlineStr">
        <is>
          <t>evidence</t>
        </is>
      </c>
      <c r="C131" t="inlineStr">
        <is>
          <t>base target multiple</t>
        </is>
      </c>
      <c r="D131" t="inlineStr">
        <is>
          <t>8.1x</t>
        </is>
      </c>
      <c r="E131" t="inlineStr">
        <is>
          <t>computed</t>
        </is>
      </c>
    </row>
    <row r="132">
      <c r="A132" t="inlineStr">
        <is>
          <t>E-131</t>
        </is>
      </c>
      <c r="B132" t="inlineStr">
        <is>
          <t>evidence</t>
        </is>
      </c>
      <c r="C132" t="inlineStr">
        <is>
          <t>base DCF value per share</t>
        </is>
      </c>
      <c r="D132" t="inlineStr">
        <is>
          <t>$116.81</t>
        </is>
      </c>
      <c r="E132" t="inlineStr">
        <is>
          <t>computed</t>
        </is>
      </c>
    </row>
    <row r="133">
      <c r="A133" t="inlineStr">
        <is>
          <t>E-132</t>
        </is>
      </c>
      <c r="B133" t="inlineStr">
        <is>
          <t>evidence</t>
        </is>
      </c>
      <c r="C133" t="inlineStr">
        <is>
          <t>base scenario weight</t>
        </is>
      </c>
      <c r="D133" t="inlineStr">
        <is>
          <t>50%</t>
        </is>
      </c>
      <c r="E133" t="inlineStr">
        <is>
          <t>research.yaml</t>
        </is>
      </c>
    </row>
    <row r="134">
      <c r="A134" t="inlineStr">
        <is>
          <t>E-133</t>
        </is>
      </c>
      <c r="B134" t="inlineStr">
        <is>
          <t>evidence</t>
        </is>
      </c>
      <c r="C134" t="inlineStr">
        <is>
          <t>bull price target</t>
        </is>
      </c>
      <c r="D134" t="inlineStr">
        <is>
          <t>$104.80</t>
        </is>
      </c>
      <c r="E134" t="inlineStr">
        <is>
          <t>model:UBER:2026-08-06:val-bull:price_target</t>
        </is>
      </c>
    </row>
    <row r="135">
      <c r="A135" t="inlineStr">
        <is>
          <t>E-134</t>
        </is>
      </c>
      <c r="B135" t="inlineStr">
        <is>
          <t>evidence</t>
        </is>
      </c>
      <c r="C135" t="inlineStr">
        <is>
          <t>bull target multiple</t>
        </is>
      </c>
      <c r="D135" t="inlineStr">
        <is>
          <t>9.3x</t>
        </is>
      </c>
      <c r="E135" t="inlineStr">
        <is>
          <t>computed</t>
        </is>
      </c>
    </row>
    <row r="136">
      <c r="A136" t="inlineStr">
        <is>
          <t>E-135</t>
        </is>
      </c>
      <c r="B136" t="inlineStr">
        <is>
          <t>evidence</t>
        </is>
      </c>
      <c r="C136" t="inlineStr">
        <is>
          <t>bull DCF value per share</t>
        </is>
      </c>
      <c r="D136" t="inlineStr">
        <is>
          <t>$149.14</t>
        </is>
      </c>
      <c r="E136" t="inlineStr">
        <is>
          <t>computed</t>
        </is>
      </c>
    </row>
    <row r="137">
      <c r="A137" t="inlineStr">
        <is>
          <t>E-136</t>
        </is>
      </c>
      <c r="B137" t="inlineStr">
        <is>
          <t>evidence</t>
        </is>
      </c>
      <c r="C137" t="inlineStr">
        <is>
          <t>bull scenario weight</t>
        </is>
      </c>
      <c r="D137" t="inlineStr">
        <is>
          <t>25%</t>
        </is>
      </c>
      <c r="E137" t="inlineStr">
        <is>
          <t>research.yaml</t>
        </is>
      </c>
    </row>
    <row r="138">
      <c r="A138" t="inlineStr">
        <is>
          <t>E-137</t>
        </is>
      </c>
      <c r="B138" t="inlineStr">
        <is>
          <t>evidence</t>
        </is>
      </c>
      <c r="C138" t="inlineStr">
        <is>
          <t>multiple weight</t>
        </is>
      </c>
      <c r="D138" t="inlineStr">
        <is>
          <t>60%</t>
        </is>
      </c>
      <c r="E138" t="inlineStr">
        <is>
          <t>research.yaml</t>
        </is>
      </c>
    </row>
    <row r="139">
      <c r="A139" t="inlineStr">
        <is>
          <t>E-138</t>
        </is>
      </c>
      <c r="B139" t="inlineStr">
        <is>
          <t>evidence</t>
        </is>
      </c>
      <c r="C139" t="inlineStr">
        <is>
          <t>DCF weight</t>
        </is>
      </c>
      <c r="D139" t="inlineStr">
        <is>
          <t>40%</t>
        </is>
      </c>
      <c r="E139" t="inlineStr">
        <is>
          <t>research.yaml</t>
        </is>
      </c>
    </row>
    <row r="140">
      <c r="A140" t="inlineStr">
        <is>
          <t>E-139</t>
        </is>
      </c>
      <c r="B140" t="inlineStr">
        <is>
          <t>evidence</t>
        </is>
      </c>
      <c r="C140" t="inlineStr">
        <is>
          <t>take rate shock</t>
        </is>
      </c>
      <c r="D140" t="inlineStr">
        <is>
          <t>-0.5 pts</t>
        </is>
      </c>
      <c r="E140" t="inlineStr">
        <is>
          <t>research: sensitivity</t>
        </is>
      </c>
    </row>
    <row r="141">
      <c r="A141" t="inlineStr">
        <is>
          <t>E-140</t>
        </is>
      </c>
      <c r="B141" t="inlineStr">
        <is>
          <t>evidence</t>
        </is>
      </c>
      <c r="C141" t="inlineStr">
        <is>
          <t>2027E adj. EBITDA change if take rate -0.5 pts</t>
        </is>
      </c>
      <c r="D141" t="inlineStr">
        <is>
          <t>-$545M</t>
        </is>
      </c>
      <c r="E141" t="inlineStr">
        <is>
          <t>model:UBER:2026-08-06:scratch-1:adj_ebitda.FY2027</t>
        </is>
      </c>
    </row>
    <row r="142">
      <c r="A142" t="inlineStr">
        <is>
          <t>E-141</t>
        </is>
      </c>
      <c r="B142" t="inlineStr">
        <is>
          <t>evidence</t>
        </is>
      </c>
      <c r="C142" t="inlineStr">
        <is>
          <t>PT change if take rate -0.5 pts</t>
        </is>
      </c>
      <c r="D142" t="inlineStr">
        <is>
          <t>-$4.05</t>
        </is>
      </c>
      <c r="E142" t="inlineStr">
        <is>
          <t>model:UBER:2026-08-06:val-scratch-1:price_target</t>
        </is>
      </c>
    </row>
    <row r="143">
      <c r="A143" t="inlineStr">
        <is>
          <t>E-142</t>
        </is>
      </c>
      <c r="B143" t="inlineStr">
        <is>
          <t>evidence</t>
        </is>
      </c>
      <c r="C143" t="inlineStr">
        <is>
          <t>growth shock</t>
        </is>
      </c>
      <c r="D143" t="inlineStr">
        <is>
          <t>-1.0 pts</t>
        </is>
      </c>
      <c r="E143" t="inlineStr">
        <is>
          <t>research: sensitivity</t>
        </is>
      </c>
    </row>
    <row r="144">
      <c r="A144" t="inlineStr">
        <is>
          <t>E-143</t>
        </is>
      </c>
      <c r="B144" t="inlineStr">
        <is>
          <t>evidence</t>
        </is>
      </c>
      <c r="C144" t="inlineStr">
        <is>
          <t>2027E adj. EBITDA change if growth -1.0 pts</t>
        </is>
      </c>
      <c r="D144" t="inlineStr">
        <is>
          <t>-$7M</t>
        </is>
      </c>
      <c r="E144" t="inlineStr">
        <is>
          <t>model:UBER:2026-08-06:scratch-2:adj_ebitda.FY2027</t>
        </is>
      </c>
    </row>
    <row r="145">
      <c r="A145" t="inlineStr">
        <is>
          <t>E-144</t>
        </is>
      </c>
      <c r="B145" t="inlineStr">
        <is>
          <t>evidence</t>
        </is>
      </c>
      <c r="C145" t="inlineStr">
        <is>
          <t>PT change if growth -1.0 pts</t>
        </is>
      </c>
      <c r="D145" t="inlineStr">
        <is>
          <t>-$0.50</t>
        </is>
      </c>
      <c r="E145" t="inlineStr">
        <is>
          <t>model:UBER:2026-08-06:val-scratch-2:price_target</t>
        </is>
      </c>
    </row>
    <row r="146">
      <c r="A146" t="inlineStr">
        <is>
          <t>E-145</t>
        </is>
      </c>
      <c r="B146" t="inlineStr">
        <is>
          <t>evidence</t>
        </is>
      </c>
      <c r="C146" t="inlineStr">
        <is>
          <t>costs as a share of gross bookings shock</t>
        </is>
      </c>
      <c r="D146" t="inlineStr">
        <is>
          <t>+0.5 pts</t>
        </is>
      </c>
      <c r="E146" t="inlineStr">
        <is>
          <t>research: sensitivity</t>
        </is>
      </c>
    </row>
    <row r="147">
      <c r="A147" t="inlineStr">
        <is>
          <t>E-146</t>
        </is>
      </c>
      <c r="B147" t="inlineStr">
        <is>
          <t>evidence</t>
        </is>
      </c>
      <c r="C147" t="inlineStr">
        <is>
          <t>2027E adj. EBITDA change if costs as a share of gross bookings +0.5 pts</t>
        </is>
      </c>
      <c r="D147" t="inlineStr">
        <is>
          <t>-$1.1B</t>
        </is>
      </c>
      <c r="E147" t="inlineStr">
        <is>
          <t>model:UBER:2026-08-06:scratch-3:adj_ebitda.FY2027</t>
        </is>
      </c>
    </row>
    <row r="148">
      <c r="A148" t="inlineStr">
        <is>
          <t>E-147</t>
        </is>
      </c>
      <c r="B148" t="inlineStr">
        <is>
          <t>evidence</t>
        </is>
      </c>
      <c r="C148" t="inlineStr">
        <is>
          <t>PT change if costs as a share of gross bookings +0.5 pts</t>
        </is>
      </c>
      <c r="D148" t="inlineStr">
        <is>
          <t>-$6.63</t>
        </is>
      </c>
      <c r="E148" t="inlineStr">
        <is>
          <t>model:UBER:2026-08-06:val-scratch-3:price_target</t>
        </is>
      </c>
    </row>
    <row r="149">
      <c r="A149" t="inlineStr">
        <is>
          <t>E-148</t>
        </is>
      </c>
      <c r="B149" t="inlineStr">
        <is>
          <t>evidence</t>
        </is>
      </c>
      <c r="C149" t="inlineStr">
        <is>
          <t>assumption cost_to_gb.shift0</t>
        </is>
      </c>
      <c r="D149" t="inlineStr">
        <is>
          <t>-0.03</t>
        </is>
      </c>
      <c r="E149" t="inlineStr">
        <is>
          <t>model:UBER:2026-08-06:base (assumption)</t>
        </is>
      </c>
    </row>
    <row r="150">
      <c r="A150" t="inlineStr">
        <is>
          <t>E-149</t>
        </is>
      </c>
      <c r="B150" t="inlineStr">
        <is>
          <t>evidence</t>
        </is>
      </c>
      <c r="C150" t="inlineStr">
        <is>
          <t>assumption fade</t>
        </is>
      </c>
      <c r="D150" t="inlineStr">
        <is>
          <t>0.90</t>
        </is>
      </c>
      <c r="E150" t="inlineStr">
        <is>
          <t>model:UBER:2026-08-06:base (assumption)</t>
        </is>
      </c>
    </row>
    <row r="151">
      <c r="A151" t="inlineStr">
        <is>
          <t>E-150</t>
        </is>
      </c>
      <c r="B151" t="inlineStr">
        <is>
          <t>evidence</t>
        </is>
      </c>
      <c r="C151" t="inlineStr">
        <is>
          <t>assumption gb_g_delivery.g0</t>
        </is>
      </c>
      <c r="D151" t="inlineStr">
        <is>
          <t>0.26</t>
        </is>
      </c>
      <c r="E151" t="inlineStr">
        <is>
          <t>model:UBER:2026-08-06:base (assumption)</t>
        </is>
      </c>
    </row>
    <row r="152">
      <c r="A152" t="inlineStr">
        <is>
          <t>E-151</t>
        </is>
      </c>
      <c r="B152" t="inlineStr">
        <is>
          <t>evidence</t>
        </is>
      </c>
      <c r="C152" t="inlineStr">
        <is>
          <t>assumption gb_g_freight.g0</t>
        </is>
      </c>
      <c r="D152" t="inlineStr">
        <is>
          <t>0.25</t>
        </is>
      </c>
      <c r="E152" t="inlineStr">
        <is>
          <t>model:UBER:2026-08-06:base (assumption)</t>
        </is>
      </c>
    </row>
    <row r="153">
      <c r="A153" t="inlineStr">
        <is>
          <t>E-152</t>
        </is>
      </c>
      <c r="B153" t="inlineStr">
        <is>
          <t>evidence</t>
        </is>
      </c>
      <c r="C153" t="inlineStr">
        <is>
          <t>assumption gb_g_mobility.g0</t>
        </is>
      </c>
      <c r="D153" t="inlineStr">
        <is>
          <t>0.22</t>
        </is>
      </c>
      <c r="E153" t="inlineStr">
        <is>
          <t>model:UBER:2026-08-06:base (assumption)</t>
        </is>
      </c>
    </row>
    <row r="154">
      <c r="A154" t="inlineStr">
        <is>
          <t>E-153</t>
        </is>
      </c>
      <c r="B154" t="inlineStr">
        <is>
          <t>evidence</t>
        </is>
      </c>
      <c r="C154" t="inlineStr">
        <is>
          <t>assumption take_rate_delivery.shift0</t>
        </is>
      </c>
      <c r="D154" t="inlineStr">
        <is>
          <t>0.00</t>
        </is>
      </c>
      <c r="E154" t="inlineStr">
        <is>
          <t>model:UBER:2026-08-06:base (assumption)</t>
        </is>
      </c>
    </row>
    <row r="155">
      <c r="A155" t="inlineStr">
        <is>
          <t>E-154</t>
        </is>
      </c>
      <c r="B155" t="inlineStr">
        <is>
          <t>evidence</t>
        </is>
      </c>
      <c r="C155" t="inlineStr">
        <is>
          <t>assumption take_rate_freight.shift0</t>
        </is>
      </c>
      <c r="D155" t="inlineStr">
        <is>
          <t>0.01</t>
        </is>
      </c>
      <c r="E155" t="inlineStr">
        <is>
          <t>model:UBER:2026-08-06:base (assumption)</t>
        </is>
      </c>
    </row>
    <row r="156">
      <c r="A156" t="inlineStr">
        <is>
          <t>E-155</t>
        </is>
      </c>
      <c r="B156" t="inlineStr">
        <is>
          <t>evidence</t>
        </is>
      </c>
      <c r="C156" t="inlineStr">
        <is>
          <t>assumption take_rate_mobility.shift0</t>
        </is>
      </c>
      <c r="D156" t="inlineStr">
        <is>
          <t>-0.05</t>
        </is>
      </c>
      <c r="E156" t="inlineStr">
        <is>
          <t>model:UBER:2026-08-06:base (assumption)</t>
        </is>
      </c>
    </row>
    <row r="157">
      <c r="A157" t="inlineStr">
        <is>
          <t>E-156</t>
        </is>
      </c>
      <c r="B157" t="inlineStr">
        <is>
          <t>evidence</t>
        </is>
      </c>
      <c r="C157" t="inlineStr">
        <is>
          <t>assumption trips_g.g0</t>
        </is>
      </c>
      <c r="D157" t="inlineStr">
        <is>
          <t>0.18</t>
        </is>
      </c>
      <c r="E157" t="inlineStr">
        <is>
          <t>model:UBER:2026-08-06:base (assumption)</t>
        </is>
      </c>
    </row>
    <row r="158">
      <c r="A158" t="inlineStr">
        <is>
          <t>E-157</t>
        </is>
      </c>
      <c r="B158" t="inlineStr">
        <is>
          <t>evidence</t>
        </is>
      </c>
      <c r="C158" t="inlineStr">
        <is>
          <t>2026Q2 insider open-market shares sold</t>
        </is>
      </c>
      <c r="D158" t="inlineStr">
        <is>
          <t>67.5M</t>
        </is>
      </c>
      <c r="E158" t="inlineStr">
        <is>
          <t>Form 4 (insider_tx)</t>
        </is>
      </c>
    </row>
    <row r="159">
      <c r="A159" t="inlineStr">
        <is>
          <t>E-158</t>
        </is>
      </c>
      <c r="B159" t="inlineStr">
        <is>
          <t>evidence</t>
        </is>
      </c>
      <c r="C159" t="inlineStr">
        <is>
          <t>2026Q2 insider open-market sales</t>
        </is>
      </c>
      <c r="D159" t="inlineStr">
        <is>
          <t>$479M</t>
        </is>
      </c>
      <c r="E159" t="inlineStr">
        <is>
          <t>Form 4 (insider_tx)</t>
        </is>
      </c>
    </row>
    <row r="160">
      <c r="A160" t="inlineStr">
        <is>
          <t>E-159</t>
        </is>
      </c>
      <c r="B160" t="inlineStr">
        <is>
          <t>evidence</t>
        </is>
      </c>
      <c r="C160" t="inlineStr">
        <is>
          <t>2026Q2 insider shares awarded</t>
        </is>
      </c>
      <c r="D160" t="inlineStr">
        <is>
          <t>0.0M</t>
        </is>
      </c>
      <c r="E160" t="inlineStr">
        <is>
          <t>Form 4 (insider_tx)</t>
        </is>
      </c>
    </row>
    <row r="161">
      <c r="A161" t="inlineStr">
        <is>
          <t>E-160</t>
        </is>
      </c>
      <c r="B161" t="inlineStr">
        <is>
          <t>evidence</t>
        </is>
      </c>
      <c r="C161" t="inlineStr">
        <is>
          <t>open issues</t>
        </is>
      </c>
      <c r="D161" t="inlineStr">
        <is>
          <t>17</t>
        </is>
      </c>
      <c r="E161" t="inlineStr">
        <is>
          <t>exception log</t>
        </is>
      </c>
    </row>
    <row r="162">
      <c r="A162" t="inlineStr">
        <is>
          <t>E-161</t>
        </is>
      </c>
      <c r="B162" t="inlineStr">
        <is>
          <t>evidence</t>
        </is>
      </c>
      <c r="C162" t="inlineStr">
        <is>
          <t>Buy threshold return</t>
        </is>
      </c>
      <c r="D162" t="inlineStr">
        <is>
          <t>+15.0%</t>
        </is>
      </c>
      <c r="E162" t="inlineStr">
        <is>
          <t>research.yaml</t>
        </is>
      </c>
    </row>
    <row r="163">
      <c r="A163" t="inlineStr">
        <is>
          <t>E-162</t>
        </is>
      </c>
      <c r="B163" t="inlineStr">
        <is>
          <t>evidence</t>
        </is>
      </c>
      <c r="C163" t="inlineStr">
        <is>
          <t>Sell threshold return</t>
        </is>
      </c>
      <c r="D163" t="inlineStr">
        <is>
          <t>-10.0%</t>
        </is>
      </c>
      <c r="E163" t="inlineStr">
        <is>
          <t>research.yaml</t>
        </is>
      </c>
    </row>
    <row r="164">
      <c r="A164" t="inlineStr">
        <is>
          <t>X-01</t>
        </is>
      </c>
      <c r="B164" t="inlineStr">
        <is>
          <t>exception</t>
        </is>
      </c>
      <c r="C164" t="inlineStr">
        <is>
          <t>info</t>
        </is>
      </c>
      <c r="D164" t="inlineStr">
        <is>
          <t>shares_diluted missing in 2023Q4, 2024Q4, 2025Q4</t>
        </is>
      </c>
      <c r="E164" t="inlineStr"/>
    </row>
    <row r="165">
      <c r="A165" t="inlineStr">
        <is>
          <t>X-02</t>
        </is>
      </c>
      <c r="B165" t="inlineStr">
        <is>
          <t>exception</t>
        </is>
      </c>
      <c r="C165" t="inlineStr">
        <is>
          <t>info</t>
        </is>
      </c>
      <c r="D165" t="inlineStr">
        <is>
          <t>buybacks missing in 2023Q1, 2023Q2</t>
        </is>
      </c>
      <c r="E165" t="inlineStr"/>
    </row>
    <row r="166">
      <c r="A166" t="inlineStr">
        <is>
          <t>X-03</t>
        </is>
      </c>
      <c r="B166" t="inlineStr">
        <is>
          <t>exception</t>
        </is>
      </c>
      <c r="C166" t="inlineStr">
        <is>
          <t>info</t>
        </is>
      </c>
      <c r="D166" t="inlineStr">
        <is>
          <t>total_assets missing in 2026Q3, 2026Q4, 2027Q1, 2027Q2, 2027Q3, 2027Q4</t>
        </is>
      </c>
      <c r="E166" t="inlineStr"/>
    </row>
    <row r="167">
      <c r="A167" t="inlineStr">
        <is>
          <t>X-04</t>
        </is>
      </c>
      <c r="B167" t="inlineStr">
        <is>
          <t>exception</t>
        </is>
      </c>
      <c r="C167" t="inlineStr">
        <is>
          <t>info</t>
        </is>
      </c>
      <c r="D167" t="inlineStr">
        <is>
          <t>total_liabilities missing in 2026Q3, 2026Q4, 2027Q1, 2027Q2, 2027Q3, 2027Q4</t>
        </is>
      </c>
      <c r="E167" t="inlineStr"/>
    </row>
    <row r="168">
      <c r="A168" t="inlineStr">
        <is>
          <t>X-05</t>
        </is>
      </c>
      <c r="B168" t="inlineStr">
        <is>
          <t>exception</t>
        </is>
      </c>
      <c r="C168" t="inlineStr">
        <is>
          <t>info</t>
        </is>
      </c>
      <c r="D168" t="inlineStr">
        <is>
          <t>mezzanine missing in 2026Q3, 2026Q4, 2027Q1, 2027Q2, 2027Q3, 2027Q4</t>
        </is>
      </c>
      <c r="E168" t="inlineStr"/>
    </row>
    <row r="169">
      <c r="A169" t="inlineStr">
        <is>
          <t>X-06</t>
        </is>
      </c>
      <c r="B169" t="inlineStr">
        <is>
          <t>exception</t>
        </is>
      </c>
      <c r="C169" t="inlineStr">
        <is>
          <t>info</t>
        </is>
      </c>
      <c r="D169" t="inlineStr">
        <is>
          <t>equity_total missing in 2026Q3, 2026Q4, 2027Q1, 2027Q2, 2027Q3, 2027Q4</t>
        </is>
      </c>
      <c r="E169" t="inlineStr"/>
    </row>
    <row r="170">
      <c r="A170" t="inlineStr">
        <is>
          <t>X-07</t>
        </is>
      </c>
      <c r="B170" t="inlineStr">
        <is>
          <t>exception</t>
        </is>
      </c>
      <c r="C170" t="inlineStr">
        <is>
          <t>info</t>
        </is>
      </c>
      <c r="D170" t="inlineStr">
        <is>
          <t>liabilities_and_equity missing in 2026Q3, 2026Q4, 2027Q1, 2027Q2, 2027Q3, 2027Q4</t>
        </is>
      </c>
      <c r="E170" t="inlineStr"/>
    </row>
    <row r="171">
      <c r="A171" t="inlineStr">
        <is>
          <t>X-08</t>
        </is>
      </c>
      <c r="B171" t="inlineStr">
        <is>
          <t>exception</t>
        </is>
      </c>
      <c r="C171" t="inlineStr">
        <is>
          <t>info</t>
        </is>
      </c>
      <c r="D171" t="inlineStr">
        <is>
          <t>mapcs missing in 2026Q3, 2026Q4, 2027Q1, 2027Q2, 2027Q3, 2027Q4</t>
        </is>
      </c>
      <c r="E171" t="inlineStr"/>
    </row>
    <row r="172">
      <c r="A172" t="inlineStr">
        <is>
          <t>X-09</t>
        </is>
      </c>
      <c r="B172" t="inlineStr">
        <is>
          <t>exception</t>
        </is>
      </c>
      <c r="C172" t="inlineStr">
        <is>
          <t>info</t>
        </is>
      </c>
      <c r="D172" t="inlineStr">
        <is>
          <t>adj_ebitda_mobility missing in 2026Q1, 2026Q2, 2026Q3, 2026Q4, 2027Q1, 2027Q2, 2027Q3, 2027Q4</t>
        </is>
      </c>
      <c r="E172" t="inlineStr"/>
    </row>
    <row r="173">
      <c r="A173" t="inlineStr">
        <is>
          <t>X-10</t>
        </is>
      </c>
      <c r="B173" t="inlineStr">
        <is>
          <t>exception</t>
        </is>
      </c>
      <c r="C173" t="inlineStr">
        <is>
          <t>info</t>
        </is>
      </c>
      <c r="D173" t="inlineStr">
        <is>
          <t>adj_ebitda_delivery missing in 2026Q1, 2026Q2, 2026Q3, 2026Q4, 2027Q1, 2027Q2, 2027Q3, 2027Q4</t>
        </is>
      </c>
      <c r="E173" t="inlineStr"/>
    </row>
    <row r="174">
      <c r="A174" t="inlineStr">
        <is>
          <t>X-11</t>
        </is>
      </c>
      <c r="B174" t="inlineStr">
        <is>
          <t>exception</t>
        </is>
      </c>
      <c r="C174" t="inlineStr">
        <is>
          <t>info</t>
        </is>
      </c>
      <c r="D174" t="inlineStr">
        <is>
          <t>adj_ebitda_freight missing in 2026Q1, 2026Q2, 2026Q3, 2026Q4, 2027Q1, 2027Q2, 2027Q3, 2027Q4</t>
        </is>
      </c>
      <c r="E174" t="inlineStr"/>
    </row>
    <row r="175">
      <c r="A175" t="inlineStr">
        <is>
          <t>X-12</t>
        </is>
      </c>
      <c r="B175" t="inlineStr">
        <is>
          <t>exception</t>
        </is>
      </c>
      <c r="C175" t="inlineStr">
        <is>
          <t>info</t>
        </is>
      </c>
      <c r="D175" t="inlineStr">
        <is>
          <t>adj_ebitda_corporate missing in 2026Q1, 2026Q2, 2026Q3, 2026Q4, 2027Q1, 2027Q2, 2027Q3, 2027Q4</t>
        </is>
      </c>
      <c r="E175" t="inlineStr"/>
    </row>
    <row r="176">
      <c r="A176" t="inlineStr">
        <is>
          <t>X-13</t>
        </is>
      </c>
      <c r="B176" t="inlineStr">
        <is>
          <t>exception</t>
        </is>
      </c>
      <c r="C176" t="inlineStr">
        <is>
          <t>info</t>
        </is>
      </c>
      <c r="D176" t="inlineStr">
        <is>
          <t>quarters_sum skipped 3: d_and_a FY2024 (recast), d_and_a FY2025 (recast), buybacks FY2023</t>
        </is>
      </c>
      <c r="E176" t="inlineStr"/>
    </row>
    <row r="177">
      <c r="A177" t="inlineStr">
        <is>
          <t>X-14</t>
        </is>
      </c>
      <c r="B177" t="inlineStr">
        <is>
          <t>exception</t>
        </is>
      </c>
      <c r="C177" t="inlineStr">
        <is>
          <t>info</t>
        </is>
      </c>
      <c r="D177" t="inlineStr">
        <is>
          <t>segments_sum skipped 10: adj_ebitda 2026Q1, adj_ebitda 2026Q2, adj_ebitda 2026Q3, adj_ebitda 2026Q4, adj_ebitda FY2026, adj_ebitda 2027Q1, adj_ebitda 2027Q2, adj_ebitda 2027Q3, adj_ebitda 2027Q4, adj_ebitda FY2027</t>
        </is>
      </c>
      <c r="E177" t="inlineStr"/>
    </row>
    <row r="178">
      <c r="A178" t="inlineStr">
        <is>
          <t>X-15</t>
        </is>
      </c>
      <c r="B178" t="inlineStr">
        <is>
          <t>exception</t>
        </is>
      </c>
      <c r="C178" t="inlineStr">
        <is>
          <t>info</t>
        </is>
      </c>
      <c r="D178" t="inlineStr">
        <is>
          <t>working capital held at 0 in the forecast; interest and other non-operating items 0 (§5.2)</t>
        </is>
      </c>
      <c r="E178" t="inlineStr"/>
    </row>
    <row r="179">
      <c r="A179" t="inlineStr">
        <is>
          <t>X-16</t>
        </is>
      </c>
      <c r="B179" t="inlineStr">
        <is>
          <t>exception</t>
        </is>
      </c>
      <c r="C179" t="inlineStr">
        <is>
          <t>info</t>
        </is>
      </c>
      <c r="D179" t="inlineStr">
        <is>
          <t>EV excludes leases, equity stakes and customer funds</t>
        </is>
      </c>
      <c r="E179" t="inlineStr"/>
    </row>
    <row r="180">
      <c r="A180" t="inlineStr">
        <is>
          <t>X-17</t>
        </is>
      </c>
      <c r="B180" t="inlineStr">
        <is>
          <t>exception</t>
        </is>
      </c>
      <c r="C180" t="inlineStr">
        <is>
          <t>info</t>
        </is>
      </c>
      <c r="D180" t="inlineStr">
        <is>
          <t>bear target multiple 6.9x outside the peer range</t>
        </is>
      </c>
      <c r="E18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2026-10-28T08:17:33Z</dcterms:created>
  <dcterms:modified xmlns:dcterms="http://purl.org/dc/terms/" xmlns:xsi="http://www.w3.org/2001/XMLSchema-instance" xsi:type="dcterms:W3CDTF">2026-10-28T08:17:34Z</dcterms:modified>
</cp:coreProperties>
</file>