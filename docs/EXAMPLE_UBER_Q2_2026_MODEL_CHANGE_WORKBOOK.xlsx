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Bridge" sheetId="3" state="visible" r:id="rId5"/>
    <sheet name="Assumptions" sheetId="4" state="visible" r:id="rId6"/>
    <sheet name="Model" sheetId="5" state="visible" r:id="rId7"/>
    <sheet name="Scenarios" sheetId="6" state="visible" r:id="rId8"/>
    <sheet name="Valuation" sheetId="7" state="visible" r:id="rId9"/>
    <sheet name="DCF" sheetId="8" state="visible" r:id="rId10"/>
    <sheet name="Checks" sheetId="9" state="visible" r:id="rId11"/>
    <sheet name="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<sst xmlns="http://schemas.openxmlformats.org/spreadsheetml/2006/main" count="682" uniqueCount="417">
  <si>
    <t xml:space="preserve">UBER Q2 2026 earnings update: model-change workbook (example)</t>
  </si>
  <si>
    <t xml:space="preserve">Illustrative: every figure is invented to show the format. Not investment advice.</t>
  </si>
  <si>
    <t xml:space="preserve">Purpose: companion to the example note in docs/JUNIOR_SELL_SIDE_EQUITY_RESEARCH_AGENT_SPEC.md, section 2.3.</t>
  </si>
  <si>
    <t xml:space="preserve">A senior analyst opens it to see exactly what moved in the model and why.</t>
  </si>
  <si>
    <t xml:space="preserve">Colour code: blue = hard-coded input, black = formula, green = link to another tab.</t>
  </si>
  <si>
    <t xml:space="preserve">Change a blue input and every dependent number recalculates.</t>
  </si>
  <si>
    <t xml:space="preserve">Tabs</t>
  </si>
  <si>
    <t xml:space="preserve">  Summary      old vs. new estimates, change, source, type, confidence</t>
  </si>
  <si>
    <t xml:space="preserve">  Bridge       each revision split by driver, tied back to Summary</t>
  </si>
  <si>
    <t xml:space="preserve">  Assumptions  every assumption with basis (reported, derived, analyst-imposed), confidence, date</t>
  </si>
  <si>
    <t xml:space="preserve">  Model        Q2 2026 KPIs, segments, cash flow, guidance, Q3E, annual summary (excerpt)</t>
  </si>
  <si>
    <t xml:space="preserve">  Scenarios    bear / base / bull, probability-weighted value, sensitivities</t>
  </si>
  <si>
    <t xml:space="preserve">  Valuation    peers, EV to equity bridge, blended price target, rating</t>
  </si>
  <si>
    <t xml:space="preserve">  DCF          10-year DCF and WACC x terminal-growth grid</t>
  </si>
  <si>
    <t xml:space="preserve">  Checks       integrity checks; any FAIL blocks the note</t>
  </si>
  <si>
    <t xml:space="preserve">  Log          evidence rows (source per figure) and exceptions</t>
  </si>
  <si>
    <t xml:space="preserve">Simplifications in this example: the Model tab is an excerpt, old estimates are typed into Summary</t>
  </si>
  <si>
    <t xml:space="preserve">instead of linking to a prior-version tab, and Mobility / Delivery sensitivities are inputs.</t>
  </si>
  <si>
    <t xml:space="preserve">Estimate changes: old vs. new, $B</t>
  </si>
  <si>
    <t xml:space="preserve">Illustrative: every figure is invented to show the format. Not investment advice. Old values come from the prior model version (kept as its own tab in a real run). % change uses the old value as denominator.</t>
  </si>
  <si>
    <t xml:space="preserve">Metric</t>
  </si>
  <si>
    <t xml:space="preserve">Old</t>
  </si>
  <si>
    <t xml:space="preserve">New</t>
  </si>
  <si>
    <t xml:space="preserve">Change ($B)</t>
  </si>
  <si>
    <t xml:space="preserve">Change (%)</t>
  </si>
  <si>
    <t xml:space="preserve">Source of change</t>
  </si>
  <si>
    <t xml:space="preserve">Type</t>
  </si>
  <si>
    <t xml:space="preserve">Confidence</t>
  </si>
  <si>
    <t xml:space="preserve">Q3 2026E adj. EBITDA</t>
  </si>
  <si>
    <t xml:space="preserve">Guidance + assumption</t>
  </si>
  <si>
    <t xml:space="preserve">Recurring</t>
  </si>
  <si>
    <t xml:space="preserve">Medium</t>
  </si>
  <si>
    <t xml:space="preserve">FY2026E revenue</t>
  </si>
  <si>
    <t xml:space="preserve">Reported + assumption</t>
  </si>
  <si>
    <t xml:space="preserve">Mixed</t>
  </si>
  <si>
    <t xml:space="preserve">FY2026E adj. EBITDA</t>
  </si>
  <si>
    <t xml:space="preserve">FY2027E adj. EBITDA</t>
  </si>
  <si>
    <t xml:space="preserve">Analyst assumption</t>
  </si>
  <si>
    <t xml:space="preserve">FY2028E adj. EBITDA</t>
  </si>
  <si>
    <t xml:space="preserve">Low</t>
  </si>
  <si>
    <t xml:space="preserve">Revision bridge, $B</t>
  </si>
  <si>
    <t xml:space="preserve">Illustrative: every figure is invented to show the format. Not investment advice. Every change is split by driver and by source of the change.</t>
  </si>
  <si>
    <t xml:space="preserve">Estimate</t>
  </si>
  <si>
    <t xml:space="preserve">Driver</t>
  </si>
  <si>
    <t xml:space="preserve">Source type</t>
  </si>
  <si>
    <t xml:space="preserve">Nature</t>
  </si>
  <si>
    <t xml:space="preserve">Q2 beat carried forward</t>
  </si>
  <si>
    <t xml:space="preserve">Reported</t>
  </si>
  <si>
    <t xml:space="preserve">Delivery margin</t>
  </si>
  <si>
    <t xml:space="preserve">Q2 beat (actual - our estimate)</t>
  </si>
  <si>
    <t xml:space="preserve">Timing</t>
  </si>
  <si>
    <t xml:space="preserve">Q3-Q4 carry-through</t>
  </si>
  <si>
    <t xml:space="preserve">Q2 beat</t>
  </si>
  <si>
    <t xml:space="preserve">Q3 Delivery margin</t>
  </si>
  <si>
    <t xml:space="preserve">Q4 Delivery margin</t>
  </si>
  <si>
    <t xml:space="preserve">Mobility growth</t>
  </si>
  <si>
    <t xml:space="preserve">Operating leverage</t>
  </si>
  <si>
    <t xml:space="preserve">Tie-out to Summary</t>
  </si>
  <si>
    <t xml:space="preserve">Sum of bridge</t>
  </si>
  <si>
    <t xml:space="preserve">Summary change</t>
  </si>
  <si>
    <t xml:space="preserve">Difference</t>
  </si>
  <si>
    <t xml:space="preserve">Assumptions register</t>
  </si>
  <si>
    <t xml:space="preserve">Illustrative: every figure is invented to show the format. Not investment advice. Blue = input, black = formula, green = link to another tab.</t>
  </si>
  <si>
    <t xml:space="preserve">ID</t>
  </si>
  <si>
    <t xml:space="preserve">Assumption</t>
  </si>
  <si>
    <t xml:space="preserve">Value</t>
  </si>
  <si>
    <t xml:space="preserve">Unit</t>
  </si>
  <si>
    <t xml:space="preserve">Basis</t>
  </si>
  <si>
    <t xml:space="preserve">Model variables affected</t>
  </si>
  <si>
    <t xml:space="preserve">Last updated</t>
  </si>
  <si>
    <t xml:space="preserve">A-01</t>
  </si>
  <si>
    <t xml:space="preserve">Share price (2026-08-05 close)</t>
  </si>
  <si>
    <t xml:space="preserve">$</t>
  </si>
  <si>
    <t xml:space="preserve">reported</t>
  </si>
  <si>
    <t xml:space="preserve">High</t>
  </si>
  <si>
    <t xml:space="preserve">Market cap, EV, return</t>
  </si>
  <si>
    <t xml:space="preserve">2026-08-06</t>
  </si>
  <si>
    <t xml:space="preserve">A-02</t>
  </si>
  <si>
    <t xml:space="preserve">Diluted shares</t>
  </si>
  <si>
    <t xml:space="preserve">B</t>
  </si>
  <si>
    <t xml:space="preserve">Market cap, per-share values</t>
  </si>
  <si>
    <t xml:space="preserve">A-03</t>
  </si>
  <si>
    <t xml:space="preserve">Quoted market cap (tie-out)</t>
  </si>
  <si>
    <t xml:space="preserve">$B</t>
  </si>
  <si>
    <t xml:space="preserve">Check only</t>
  </si>
  <si>
    <t xml:space="preserve">A-04</t>
  </si>
  <si>
    <t xml:space="preserve">Quoted enterprise value (tie-out)</t>
  </si>
  <si>
    <t xml:space="preserve">A-05</t>
  </si>
  <si>
    <t xml:space="preserve">Net debt</t>
  </si>
  <si>
    <t xml:space="preserve">EV to equity bridge</t>
  </si>
  <si>
    <t xml:space="preserve">A-06</t>
  </si>
  <si>
    <t xml:space="preserve">Target EV / 2027E adj. EBITDA</t>
  </si>
  <si>
    <t xml:space="preserve">x</t>
  </si>
  <si>
    <t xml:space="preserve">analyst-imposed</t>
  </si>
  <si>
    <t xml:space="preserve">Multiple price target</t>
  </si>
  <si>
    <t xml:space="preserve">A-07</t>
  </si>
  <si>
    <t xml:space="preserve">Weight: multiple method</t>
  </si>
  <si>
    <t xml:space="preserve">%</t>
  </si>
  <si>
    <t xml:space="preserve">Blended price target</t>
  </si>
  <si>
    <t xml:space="preserve">A-08</t>
  </si>
  <si>
    <t xml:space="preserve">Weight: DCF</t>
  </si>
  <si>
    <t xml:space="preserve">derived</t>
  </si>
  <si>
    <t xml:space="preserve">A-09</t>
  </si>
  <si>
    <t xml:space="preserve">Buy threshold (12-month return)</t>
  </si>
  <si>
    <t xml:space="preserve">Rating</t>
  </si>
  <si>
    <t xml:space="preserve">A-10</t>
  </si>
  <si>
    <t xml:space="preserve">Sell threshold (12-month return)</t>
  </si>
  <si>
    <t xml:space="preserve">A-11</t>
  </si>
  <si>
    <t xml:space="preserve">Scenario weight: bear</t>
  </si>
  <si>
    <t xml:space="preserve">Probability-weighted value</t>
  </si>
  <si>
    <t xml:space="preserve">A-12</t>
  </si>
  <si>
    <t xml:space="preserve">Scenario weight: base</t>
  </si>
  <si>
    <t xml:space="preserve">A-13</t>
  </si>
  <si>
    <t xml:space="preserve">Scenario weight: bull</t>
  </si>
  <si>
    <t xml:space="preserve">A-14</t>
  </si>
  <si>
    <t xml:space="preserve">Take rate, Q2 2026 (revenue / gross bookings)</t>
  </si>
  <si>
    <t xml:space="preserve">Q3E revenue</t>
  </si>
  <si>
    <t xml:space="preserve">A-15</t>
  </si>
  <si>
    <t xml:space="preserve">Take rate, Q3 2026E (held flat)</t>
  </si>
  <si>
    <t xml:space="preserve">Q3E revenue, 2027E sensitivity</t>
  </si>
  <si>
    <t xml:space="preserve">A-16</t>
  </si>
  <si>
    <t xml:space="preserve">Q3 2026E gross bookings</t>
  </si>
  <si>
    <t xml:space="preserve">A-17</t>
  </si>
  <si>
    <t xml:space="preserve">Q3E, FY2026E</t>
  </si>
  <si>
    <t xml:space="preserve">A-18</t>
  </si>
  <si>
    <t xml:space="preserve">Variance flag vs guidance midpoint: revenue / bookings</t>
  </si>
  <si>
    <t xml:space="preserve">Check</t>
  </si>
  <si>
    <t xml:space="preserve">A-19</t>
  </si>
  <si>
    <t xml:space="preserve">Variance flag vs guidance midpoint: adj. EBITDA</t>
  </si>
  <si>
    <t xml:space="preserve">A-20</t>
  </si>
  <si>
    <t xml:space="preserve">Growth fade factor per year</t>
  </si>
  <si>
    <t xml:space="preserve">DCF cash-flow growth</t>
  </si>
  <si>
    <t xml:space="preserve">A-21</t>
  </si>
  <si>
    <t xml:space="preserve">Terminal growth</t>
  </si>
  <si>
    <t xml:space="preserve">DCF</t>
  </si>
  <si>
    <t xml:space="preserve">A-22</t>
  </si>
  <si>
    <t xml:space="preserve">Flow-through of incremental revenue to adj. EBITDA</t>
  </si>
  <si>
    <t xml:space="preserve">Take-rate sensitivity</t>
  </si>
  <si>
    <t xml:space="preserve">Model excerpt: UBER Q2 2026 (Apr-Jun), $B unless noted</t>
  </si>
  <si>
    <t xml:space="preserve">Illustrative: every figure is invented to show the format. Not investment advice. Excerpt only: the full model is three statements by quarter, formulas only.</t>
  </si>
  <si>
    <t xml:space="preserve">Q2 2026A</t>
  </si>
  <si>
    <t xml:space="preserve">Q2 2025A</t>
  </si>
  <si>
    <t xml:space="preserve">Y/Y</t>
  </si>
  <si>
    <t xml:space="preserve">Our est.</t>
  </si>
  <si>
    <t xml:space="preserve">Var. vs est.</t>
  </si>
  <si>
    <t xml:space="preserve">Guide mid</t>
  </si>
  <si>
    <t xml:space="preserve">Var. vs mid</t>
  </si>
  <si>
    <t xml:space="preserve">Source</t>
  </si>
  <si>
    <t xml:space="preserve">Trips (B)</t>
  </si>
  <si>
    <t xml:space="preserve">n/a</t>
  </si>
  <si>
    <t xml:space="preserve">8-K Ex. 99.1 (Log E-01 to E-04)</t>
  </si>
  <si>
    <t xml:space="preserve">Gross bookings</t>
  </si>
  <si>
    <t xml:space="preserve">Revenue</t>
  </si>
  <si>
    <t xml:space="preserve">Adjusted EBITDA</t>
  </si>
  <si>
    <t xml:space="preserve">Take rate (revenue / gross bookings)</t>
  </si>
  <si>
    <t xml:space="preserve">Bookings per trip ($)</t>
  </si>
  <si>
    <t xml:space="preserve">Segment gross bookings</t>
  </si>
  <si>
    <t xml:space="preserve">Mobility</t>
  </si>
  <si>
    <t xml:space="preserve">Delivery</t>
  </si>
  <si>
    <t xml:space="preserve">Freight</t>
  </si>
  <si>
    <t xml:space="preserve">Total (sum of segments)</t>
  </si>
  <si>
    <t xml:space="preserve">Segment adjusted EBITDA</t>
  </si>
  <si>
    <t xml:space="preserve">10-Q segment note (Log E-07)</t>
  </si>
  <si>
    <t xml:space="preserve">Corporate and other</t>
  </si>
  <si>
    <t xml:space="preserve">Delivery EBITDA / Delivery bookings</t>
  </si>
  <si>
    <t xml:space="preserve">Cash flow and reconciliation</t>
  </si>
  <si>
    <t xml:space="preserve">Operating cash flow</t>
  </si>
  <si>
    <t xml:space="preserve">Capital expenditure</t>
  </si>
  <si>
    <t xml:space="preserve">Free cash flow</t>
  </si>
  <si>
    <t xml:space="preserve">FCF / adj. EBITDA</t>
  </si>
  <si>
    <t xml:space="preserve">Share-based compensation</t>
  </si>
  <si>
    <t xml:space="preserve">Adj. EBITDA per 10-Q segment note (rounding test)</t>
  </si>
  <si>
    <t xml:space="preserve">Log E-08, X-01</t>
  </si>
  <si>
    <t xml:space="preserve">Item</t>
  </si>
  <si>
    <t xml:space="preserve">Midpoint</t>
  </si>
  <si>
    <t xml:space="preserve">Actual / our forecast</t>
  </si>
  <si>
    <t xml:space="preserve">Flag threshold</t>
  </si>
  <si>
    <t xml:space="preserve">Flag</t>
  </si>
  <si>
    <t xml:space="preserve">Q2 gross bookings guide (prior quarter)</t>
  </si>
  <si>
    <t xml:space="preserve">Q2 adj. EBITDA guide (prior quarter)</t>
  </si>
  <si>
    <t xml:space="preserve">Q3 gross bookings guide (new)</t>
  </si>
  <si>
    <t xml:space="preserve">8-K Ex. 99.1 outlook (Log E-05, E-06)</t>
  </si>
  <si>
    <t xml:space="preserve">Q3 adj. EBITDA guide (new)</t>
  </si>
  <si>
    <t xml:space="preserve">Q3 guide midpoint vs Q2 actual: gross bookings</t>
  </si>
  <si>
    <t xml:space="preserve">Q3 guide midpoint vs Q2 actual: adj. EBITDA</t>
  </si>
  <si>
    <t xml:space="preserve">Q3 2026E forecast</t>
  </si>
  <si>
    <t xml:space="preserve">Take rate</t>
  </si>
  <si>
    <t xml:space="preserve">Revenue (bookings x take rate)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</si>
  <si>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</si>
  <si>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</si>
  <si>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</si>
  <si>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</si>
  <si>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</si>
  <si>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Revenue growth</t>
  </si>
  <si>
    <t xml:space="preserve">Adj. EBITDA margin</t>
  </si>
  <si>
    <t xml:space="preserve">2024A growth is an input: 2023 revenue is outside this excerpt.</t>
  </si>
  <si>
    <t xml:space="preserve">Scenarios and sensitivities</t>
  </si>
  <si>
    <t xml:space="preserve">Scenario</t>
  </si>
  <si>
    <t xml:space="preserve">Price target ($)</t>
  </si>
  <si>
    <t xml:space="preserve">Weight</t>
  </si>
  <si>
    <t xml:space="preserve">Return vs price</t>
  </si>
  <si>
    <t xml:space="preserve">Key assumptions</t>
  </si>
  <si>
    <t xml:space="preserve">Bear</t>
  </si>
  <si>
    <t xml:space="preserve">Take rate -75 bps vs. base; Mobility growth 12%; 16x</t>
  </si>
  <si>
    <t xml:space="preserve">Base</t>
  </si>
  <si>
    <t xml:space="preserve">Estimates in Summary; 19x</t>
  </si>
  <si>
    <t xml:space="preserve">Bull</t>
  </si>
  <si>
    <t xml:space="preserve">Mobility growth 20%; Delivery margin +100 bps; 22x</t>
  </si>
  <si>
    <t xml:space="preserve">Probability-weighted</t>
  </si>
  <si>
    <t xml:space="preserve">Sensitivity of 2027E (one shock at a time)</t>
  </si>
  <si>
    <t xml:space="preserve">Risk</t>
  </si>
  <si>
    <t xml:space="preserve">Shock</t>
  </si>
  <si>
    <t xml:space="preserve">2027E adj. EBITDA ($B)</t>
  </si>
  <si>
    <t xml:space="preserve">% of 2027E EBITDA</t>
  </si>
  <si>
    <t xml:space="preserve">PT %</t>
  </si>
  <si>
    <t xml:space="preserve">Evidence</t>
  </si>
  <si>
    <t xml:space="preserve">Take-rate compression</t>
  </si>
  <si>
    <t xml:space="preserve">Current: take rate down 40 bps y/y</t>
  </si>
  <si>
    <t xml:space="preserve">Slower Mobility growth (per 1 pt)</t>
  </si>
  <si>
    <t xml:space="preserve">Hypothetical</t>
  </si>
  <si>
    <t xml:space="preserve">Delivery margin deterioration</t>
  </si>
  <si>
    <t xml:space="preserve">Regulation</t>
  </si>
  <si>
    <t xml:space="preserve">Not quantified</t>
  </si>
  <si>
    <t xml:space="preserve">New 10-Q risk factor</t>
  </si>
  <si>
    <t xml:space="preserve">AV competition</t>
  </si>
  <si>
    <t xml:space="preserve">Scenario only</t>
  </si>
  <si>
    <t xml:space="preserve">Qualitative only</t>
  </si>
  <si>
    <t xml:space="preserve">Helper</t>
  </si>
  <si>
    <t xml:space="preserve">2027E gross bookings = revenue / take rate ($B)</t>
  </si>
  <si>
    <t xml:space="preserve">Method: EBITDA change x target multiple / shares x multiple weight, plus DCF value scaled by the % EBITDA change x DCF weight.</t>
  </si>
  <si>
    <t xml:space="preserve">Mobility and Delivery EBITDA changes are inputs here: a full run takes them from the segment model.</t>
  </si>
  <si>
    <t xml:space="preserve">Valuation: UBER</t>
  </si>
  <si>
    <t xml:space="preserve">Market data (2026-08-05 close)</t>
  </si>
  <si>
    <t xml:space="preserve">Share price ($)</t>
  </si>
  <si>
    <t xml:space="preserve">Diluted shares (B)</t>
  </si>
  <si>
    <t xml:space="preserve">Market cap ($B)</t>
  </si>
  <si>
    <t xml:space="preserve">Net debt ($B)</t>
  </si>
  <si>
    <t xml:space="preserve">Enterprise value ($B)</t>
  </si>
  <si>
    <t xml:space="preserve">Current EV / 2027E adj. EBITDA</t>
  </si>
  <si>
    <t xml:space="preserve">Peers: 2027E EV / adj. EBITDA</t>
  </si>
  <si>
    <t xml:space="preserve">LYFT</t>
  </si>
  <si>
    <t xml:space="preserve">CART</t>
  </si>
  <si>
    <t xml:space="preserve">DASH</t>
  </si>
  <si>
    <t xml:space="preserve">Median</t>
  </si>
  <si>
    <t xml:space="preserve">Peers (n)</t>
  </si>
  <si>
    <t xml:space="preserve">Multiple method</t>
  </si>
  <si>
    <t xml:space="preserve">Target multiple</t>
  </si>
  <si>
    <t xml:space="preserve">Target EV ($B)</t>
  </si>
  <si>
    <t xml:space="preserve">Less net debt ($B)</t>
  </si>
  <si>
    <t xml:space="preserve">Equity value ($B)</t>
  </si>
  <si>
    <t xml:space="preserve">Value per share ($)</t>
  </si>
  <si>
    <t xml:space="preserve">Target multiple vs peer range</t>
  </si>
  <si>
    <t xml:space="preserve">Target multiple vs peer median</t>
  </si>
  <si>
    <t xml:space="preserve">Price target and rating</t>
  </si>
  <si>
    <t xml:space="preserve">Blended value</t>
  </si>
  <si>
    <t xml:space="preserve">12-month price target ($)</t>
  </si>
  <si>
    <t xml:space="preserve">12-month return vs price</t>
  </si>
  <si>
    <t xml:space="preserve">Draft rating</t>
  </si>
  <si>
    <t xml:space="preserve">DCF terminal value share of EV</t>
  </si>
  <si>
    <t xml:space="preserve">DCF: UBER, $B unless noted</t>
  </si>
  <si>
    <t xml:space="preserve">Risk-free rate (FRED DGS10)</t>
  </si>
  <si>
    <t xml:space="preserve">Beta (5-year regression)</t>
  </si>
  <si>
    <t xml:space="preserve">Equity risk premium (Damodaran)</t>
  </si>
  <si>
    <t xml:space="preserve">Cost of equity (CAPM)</t>
  </si>
  <si>
    <t xml:space="preserve">WACC (treated as all-equity: debt is small)</t>
  </si>
  <si>
    <t xml:space="preserve">Year-2 UFCF growth</t>
  </si>
  <si>
    <t xml:space="preserve">Growth fade factor</t>
  </si>
  <si>
    <t xml:space="preserve">Year-1 unlevered FCF (SBC treated as a cost)</t>
  </si>
  <si>
    <t xml:space="preserve">Year</t>
  </si>
  <si>
    <t xml:space="preserve">Phase</t>
  </si>
  <si>
    <t xml:space="preserve">modeled</t>
  </si>
  <si>
    <t xml:space="preserve">faded</t>
  </si>
  <si>
    <t xml:space="preserve">UFCF growth</t>
  </si>
  <si>
    <t xml:space="preserve">Unlevered FCF</t>
  </si>
  <si>
    <t xml:space="preserve">Discount factor</t>
  </si>
  <si>
    <t xml:space="preserve">Present value</t>
  </si>
  <si>
    <t xml:space="preserve">Sum of PV, years 1-10</t>
  </si>
  <si>
    <t xml:space="preserve">Terminal value (year 10)</t>
  </si>
  <si>
    <t xml:space="preserve">PV of terminal value</t>
  </si>
  <si>
    <t xml:space="preserve">Enterprise value</t>
  </si>
  <si>
    <t xml:space="preserve">Terminal value share of EV</t>
  </si>
  <si>
    <t xml:space="preserve">Less net debt</t>
  </si>
  <si>
    <t xml:space="preserve">Equity value</t>
  </si>
  <si>
    <t xml:space="preserve">DCF value per share ($)</t>
  </si>
  <si>
    <t xml:space="preserve">Price per share ($): WACC (down) x terminal growth (across)</t>
  </si>
  <si>
    <t xml:space="preserve">WACC \ terminal growth</t>
  </si>
  <si>
    <t xml:space="preserve">Integrity checks</t>
  </si>
  <si>
    <t xml:space="preserve">Illustrative: every figure is invented to show the format. Not investment advice. Subset shown. A full run adds balance sheet, quarters-sum-to-year, Q4-to-10-K and as-of date checks.</t>
  </si>
  <si>
    <t xml:space="preserve">Status</t>
  </si>
  <si>
    <t xml:space="preserve">#</t>
  </si>
  <si>
    <t xml:space="preserve">Result</t>
  </si>
  <si>
    <t xml:space="preserve">Detail</t>
  </si>
  <si>
    <t xml:space="preserve">Segment bookings sum to reported total (Q2 2026)</t>
  </si>
  <si>
    <t xml:space="preserve">Segment bookings sum to reported total (Q2 2025)</t>
  </si>
  <si>
    <t xml:space="preserve">Segment adj. EBITDA sums to reported total</t>
  </si>
  <si>
    <t xml:space="preserve">Take rate recomputes to the stated 26.8%</t>
  </si>
  <si>
    <t xml:space="preserve">Revision bridge ties to Summary (all five estimates)</t>
  </si>
  <si>
    <t xml:space="preserve">Scenario weights sum to 100%</t>
  </si>
  <si>
    <t xml:space="preserve">Market cap ties to quoted figure</t>
  </si>
  <si>
    <t xml:space="preserve">Enterprise value ties to quoted figure</t>
  </si>
  <si>
    <t xml:space="preserve">Probability-weighted value within $0.50 of price target</t>
  </si>
  <si>
    <t xml:space="preserve">WACC exceeds terminal growth</t>
  </si>
  <si>
    <t xml:space="preserve">DCF grid centre equals DCF value</t>
  </si>
  <si>
    <t xml:space="preserve">Target multiple inside peer range</t>
  </si>
  <si>
    <t xml:space="preserve">Q3 bookings forecast within variance threshold of guidance midpoint</t>
  </si>
  <si>
    <t xml:space="preserve">Q3 adj. EBITDA forecast within variance threshold of guidance midpoint</t>
  </si>
  <si>
    <t xml:space="preserve">Q3 forecasts inside the guidance ranges</t>
  </si>
  <si>
    <t xml:space="preserve">Q2 adj. EBITDA: release vs. 10-Q segment note</t>
  </si>
  <si>
    <t xml:space="preserve">Evidence and exception log</t>
  </si>
  <si>
    <t xml:space="preserve">Illustrative: every figure is invented to show the format. Not investment advice. Filing and retrieval dates are invented.</t>
  </si>
  <si>
    <t xml:space="preserve">Figure or claim</t>
  </si>
  <si>
    <t xml:space="preserve">Source document</t>
  </si>
  <si>
    <t xml:space="preserve">Period</t>
  </si>
  <si>
    <t xml:space="preserve">Filing date</t>
  </si>
  <si>
    <t xml:space="preserve">Location</t>
  </si>
  <si>
    <t xml:space="preserve">Retrieved</t>
  </si>
  <si>
    <t xml:space="preserve">Workbook cell</t>
  </si>
  <si>
    <t xml:space="preserve">E-01</t>
  </si>
  <si>
    <t xml:space="preserve">Q2 gross bookings ($B)</t>
  </si>
  <si>
    <t xml:space="preserve">48.1</t>
  </si>
  <si>
    <t xml:space="preserve">8-K Ex. 99.1</t>
  </si>
  <si>
    <t xml:space="preserve">Q2 2026</t>
  </si>
  <si>
    <t xml:space="preserve">2026-08-05</t>
  </si>
  <si>
    <t xml:space="preserve">Financial highlights table</t>
  </si>
  <si>
    <t xml:space="preserve">Model!B6</t>
  </si>
  <si>
    <t xml:space="preserve">E-02</t>
  </si>
  <si>
    <t xml:space="preserve">Q2 revenue ($B)</t>
  </si>
  <si>
    <t xml:space="preserve">12.9</t>
  </si>
  <si>
    <t xml:space="preserve">Model!B7</t>
  </si>
  <si>
    <t xml:space="preserve">E-03</t>
  </si>
  <si>
    <t xml:space="preserve">Q2 adj. EBITDA ($B)</t>
  </si>
  <si>
    <t xml:space="preserve">2.1</t>
  </si>
  <si>
    <t xml:space="preserve">Non-GAAP reconciliation</t>
  </si>
  <si>
    <t xml:space="preserve">Model!B8</t>
  </si>
  <si>
    <t xml:space="preserve">E-04</t>
  </si>
  <si>
    <t xml:space="preserve">Q2 trips (B)</t>
  </si>
  <si>
    <t xml:space="preserve">3.4</t>
  </si>
  <si>
    <t xml:space="preserve">Model!B5</t>
  </si>
  <si>
    <t xml:space="preserve">E-05</t>
  </si>
  <si>
    <t xml:space="preserve">Q3 gross bookings guide ($B)</t>
  </si>
  <si>
    <t xml:space="preserve">50.5-52.0</t>
  </si>
  <si>
    <t xml:space="preserve">Q3 2026</t>
  </si>
  <si>
    <t xml:space="preserve">Outlook</t>
  </si>
  <si>
    <t xml:space="preserve">Model!B37:C37</t>
  </si>
  <si>
    <t xml:space="preserve">E-06</t>
  </si>
  <si>
    <t xml:space="preserve">Q3 adj. EBITDA guide ($B)</t>
  </si>
  <si>
    <t xml:space="preserve">2.2-2.3</t>
  </si>
  <si>
    <t xml:space="preserve">Model!B38:C38</t>
  </si>
  <si>
    <t xml:space="preserve">E-07</t>
  </si>
  <si>
    <t xml:space="preserve">Segment adj. EBITDA ($B)</t>
  </si>
  <si>
    <t xml:space="preserve">1.50 / 0.80 / 0.02 / -0.22</t>
  </si>
  <si>
    <t xml:space="preserve">10-Q</t>
  </si>
  <si>
    <t xml:space="preserve">Segment information note</t>
  </si>
  <si>
    <t xml:space="preserve">Model!B19:B22</t>
  </si>
  <si>
    <t xml:space="preserve">E-08</t>
  </si>
  <si>
    <t xml:space="preserve">Adj. EBITDA per segment note ($B)</t>
  </si>
  <si>
    <t xml:space="preserve">2.08</t>
  </si>
  <si>
    <t xml:space="preserve">Model!B32</t>
  </si>
  <si>
    <t xml:space="preserve">E-09</t>
  </si>
  <si>
    <t xml:space="preserve">80.00</t>
  </si>
  <si>
    <t xml:space="preserve">Stooq daily close</t>
  </si>
  <si>
    <t xml:space="preserve">Close</t>
  </si>
  <si>
    <t xml:space="preserve">Assumptions!C5</t>
  </si>
  <si>
    <t xml:space="preserve">E-10</t>
  </si>
  <si>
    <t xml:space="preserve">2.0625</t>
  </si>
  <si>
    <t xml:space="preserve">XBRL company facts</t>
  </si>
  <si>
    <t xml:space="preserve">WeightedAverageNumberOfDilutedSharesOutstanding</t>
  </si>
  <si>
    <t xml:space="preserve">Assumptions!C6</t>
  </si>
  <si>
    <t xml:space="preserve">E-11</t>
  </si>
  <si>
    <t xml:space="preserve">26.8%</t>
  </si>
  <si>
    <t xml:space="preserve">Derived: revenue / gross bookings</t>
  </si>
  <si>
    <t xml:space="preserve">Model!B9</t>
  </si>
  <si>
    <t xml:space="preserve">E-12</t>
  </si>
  <si>
    <t xml:space="preserve">Q3 take rate held flat</t>
  </si>
  <si>
    <t xml:space="preserve">Q3 2026E</t>
  </si>
  <si>
    <t xml:space="preserve">Assumptions!C19</t>
  </si>
  <si>
    <t xml:space="preserve">E-13</t>
  </si>
  <si>
    <t xml:space="preserve">Risk-free rate</t>
  </si>
  <si>
    <t xml:space="preserve">4.2%</t>
  </si>
  <si>
    <t xml:space="preserve">FRED DGS10</t>
  </si>
  <si>
    <t xml:space="preserve">Daily series</t>
  </si>
  <si>
    <t xml:space="preserve">DCF!B4</t>
  </si>
  <si>
    <t xml:space="preserve">E-14</t>
  </si>
  <si>
    <t xml:space="preserve">Equity risk premium</t>
  </si>
  <si>
    <t xml:space="preserve">4.5%</t>
  </si>
  <si>
    <t xml:space="preserve">Damodaran implied ERP</t>
  </si>
  <si>
    <t xml:space="preserve">Latest before 2026-08-06</t>
  </si>
  <si>
    <t xml:space="preserve">Implied ERP file</t>
  </si>
  <si>
    <t xml:space="preserve">DCF!B6</t>
  </si>
  <si>
    <t xml:space="preserve">Exceptions</t>
  </si>
  <si>
    <t xml:space="preserve">Severity</t>
  </si>
  <si>
    <t xml:space="preserve">Treatment</t>
  </si>
  <si>
    <t xml:space="preserve">Where it appears</t>
  </si>
  <si>
    <t xml:space="preserve">X-01</t>
  </si>
  <si>
    <t xml:space="preserve">Warning</t>
  </si>
  <si>
    <t xml:space="preserve">Q2 adj. EBITDA 2.1 (release) vs. 2.08 (10-Q)</t>
  </si>
  <si>
    <t xml:space="preserve">Rounding; the filing wins (collection rules)</t>
  </si>
  <si>
    <t xml:space="preserve">Open</t>
  </si>
  <si>
    <t xml:space="preserve">Note 4.3; Checks #16</t>
  </si>
  <si>
    <t xml:space="preserve">X-02</t>
  </si>
  <si>
    <t xml:space="preserve">Data gap</t>
  </si>
  <si>
    <t xml:space="preserve">AV economics not disclosed</t>
  </si>
  <si>
    <t xml:space="preserve">Scenario only, not a forecast</t>
  </si>
  <si>
    <t xml:space="preserve">Note 3.3, 7</t>
  </si>
  <si>
    <t xml:space="preserve">X-03</t>
  </si>
  <si>
    <t xml:space="preserve">Information</t>
  </si>
  <si>
    <t xml:space="preserve">No consensus source</t>
  </si>
  <si>
    <t xml:space="preserve">Benchmark against guidance and baselines</t>
  </si>
  <si>
    <t xml:space="preserve">Note 2.1</t>
  </si>
  <si>
    <t xml:space="preserve">X-04</t>
  </si>
  <si>
    <t xml:space="preserve">Three peers only</t>
  </si>
  <si>
    <t xml:space="preserve">Flag the thin range</t>
  </si>
  <si>
    <t xml:space="preserve">Note 6</t>
  </si>
  <si>
    <t xml:space="preserve">X-05</t>
  </si>
  <si>
    <t xml:space="preserve">Next earnings date not announced</t>
  </si>
  <si>
    <t xml:space="preserve">Mark as estimated</t>
  </si>
  <si>
    <t xml:space="preserve">Note 1, 8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</si>
</sst>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;\(#,##0.00\);\-"/>
    <numFmt numFmtId="166" formatCode="0.0%;\(0.0%\);\-"/>
    <numFmt numFmtId="167" formatCode="\$#,##0.00;&quot;($&quot;#,##0.00\);\-"/>
    <numFmt numFmtId="168" formatCode="0.0000"/>
    <numFmt numFmtId="169" formatCode="#,##0.0;\(#,##0.0\);\-"/>
    <numFmt numFmtId="170" formatCode="0.0\x"/>
    <numFmt numFmtId="171" formatCode="0.00"/>
    <numFmt numFmtId="172" formatCode="0&quot; bps&quot;;\(0&quot; bps)&quot;;\-"/>
    <numFmt numFmtId="173" formatCode="0.00%;\-0.00%"/>
    <numFmt numFmtId="174" formatCode="0"/>
    <numFmt numFmtId="175" formatCode="0.00%"/>
    <numFmt numFmtId="176" formatCode="0.000"/>
    <numFmt numFmtId="17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8" min="7" style="0" width="12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4" t="s">
        <v>19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</row>
    <row r="5" customFormat="false" ht="15" hidden="false" customHeight="false" outlineLevel="0" collapsed="false">
      <c r="A5" s="2" t="s">
        <v>28</v>
      </c>
      <c r="B5" s="6" t="n">
        <v>2.2</v>
      </c>
      <c r="C5" s="7" t="n">
        <f aca="false">Assumptions!$C$21</f>
        <v>2.28</v>
      </c>
      <c r="D5" s="8" t="n">
        <f aca="false">C5-B5</f>
        <v>0.0799999999999996</v>
      </c>
      <c r="E5" s="9" t="n">
        <f aca="false">C5/B5-1</f>
        <v>0.0363636363636362</v>
      </c>
      <c r="F5" s="2" t="s">
        <v>29</v>
      </c>
      <c r="G5" s="2" t="s">
        <v>30</v>
      </c>
      <c r="H5" s="2" t="s">
        <v>31</v>
      </c>
    </row>
    <row r="6" customFormat="false" ht="15" hidden="false" customHeight="false" outlineLevel="0" collapsed="false">
      <c r="A6" s="2" t="s">
        <v>32</v>
      </c>
      <c r="B6" s="6" t="n">
        <v>50.1</v>
      </c>
      <c r="C6" s="7" t="n">
        <f aca="false">Model!D49</f>
        <v>51</v>
      </c>
      <c r="D6" s="8" t="n">
        <f aca="false">C6-B6</f>
        <v>0.899999999999999</v>
      </c>
      <c r="E6" s="9" t="n">
        <f aca="false">C6/B6-1</f>
        <v>0.0179640718562875</v>
      </c>
      <c r="F6" s="2" t="s">
        <v>33</v>
      </c>
      <c r="G6" s="2" t="s">
        <v>34</v>
      </c>
      <c r="H6" s="2" t="s">
        <v>31</v>
      </c>
    </row>
    <row r="7" customFormat="false" ht="15" hidden="false" customHeight="false" outlineLevel="0" collapsed="false">
      <c r="A7" s="2" t="s">
        <v>35</v>
      </c>
      <c r="B7" s="6" t="n">
        <v>8.6</v>
      </c>
      <c r="C7" s="7" t="n">
        <f aca="false">Model!D51</f>
        <v>8.9</v>
      </c>
      <c r="D7" s="8" t="n">
        <f aca="false">C7-B7</f>
        <v>0.300000000000001</v>
      </c>
      <c r="E7" s="9" t="n">
        <f aca="false">C7/B7-1</f>
        <v>0.0348837209302326</v>
      </c>
      <c r="F7" s="2" t="s">
        <v>33</v>
      </c>
      <c r="G7" s="2" t="s">
        <v>34</v>
      </c>
      <c r="H7" s="2" t="s">
        <v>31</v>
      </c>
    </row>
    <row r="8" customFormat="false" ht="15" hidden="false" customHeight="false" outlineLevel="0" collapsed="false">
      <c r="A8" s="2" t="s">
        <v>36</v>
      </c>
      <c r="B8" s="6" t="n">
        <v>9.4</v>
      </c>
      <c r="C8" s="7" t="n">
        <f aca="false">Model!E51</f>
        <v>9.7</v>
      </c>
      <c r="D8" s="8" t="n">
        <f aca="false">C8-B8</f>
        <v>0.299999999999999</v>
      </c>
      <c r="E8" s="9" t="n">
        <f aca="false">C8/B8-1</f>
        <v>0.0319148936170213</v>
      </c>
      <c r="F8" s="2" t="s">
        <v>37</v>
      </c>
      <c r="G8" s="2" t="s">
        <v>30</v>
      </c>
      <c r="H8" s="2" t="s">
        <v>31</v>
      </c>
    </row>
    <row r="9" customFormat="false" ht="15" hidden="false" customHeight="false" outlineLevel="0" collapsed="false">
      <c r="A9" s="2" t="s">
        <v>38</v>
      </c>
      <c r="B9" s="6" t="n">
        <v>11</v>
      </c>
      <c r="C9" s="7" t="n">
        <f aca="false">Model!F51</f>
        <v>11.4</v>
      </c>
      <c r="D9" s="8" t="n">
        <f aca="false">C9-B9</f>
        <v>0.4</v>
      </c>
      <c r="E9" s="9" t="n">
        <f aca="false">C9/B9-1</f>
        <v>0.0363636363636364</v>
      </c>
      <c r="F9" s="2" t="s">
        <v>37</v>
      </c>
      <c r="G9" s="2" t="s">
        <v>30</v>
      </c>
      <c r="H9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4" t="s">
        <v>41</v>
      </c>
    </row>
    <row r="4" customFormat="false" ht="15" hidden="false" customHeight="false" outlineLevel="0" collapsed="false">
      <c r="A4" s="5" t="s">
        <v>42</v>
      </c>
      <c r="B4" s="5" t="s">
        <v>43</v>
      </c>
      <c r="C4" s="5" t="s">
        <v>44</v>
      </c>
      <c r="D4" s="5" t="s">
        <v>23</v>
      </c>
      <c r="E4" s="5" t="s">
        <v>45</v>
      </c>
    </row>
    <row r="5" customFormat="false" ht="15" hidden="false" customHeight="false" outlineLevel="0" collapsed="false">
      <c r="A5" s="2" t="s">
        <v>28</v>
      </c>
      <c r="B5" s="2" t="s">
        <v>46</v>
      </c>
      <c r="C5" s="2" t="s">
        <v>47</v>
      </c>
      <c r="D5" s="6" t="n">
        <v>0.03</v>
      </c>
      <c r="E5" s="2" t="s">
        <v>30</v>
      </c>
    </row>
    <row r="6" customFormat="false" ht="15" hidden="false" customHeight="false" outlineLevel="0" collapsed="false">
      <c r="A6" s="2" t="s">
        <v>28</v>
      </c>
      <c r="B6" s="2" t="s">
        <v>48</v>
      </c>
      <c r="C6" s="2" t="s">
        <v>37</v>
      </c>
      <c r="D6" s="6" t="n">
        <v>0.05</v>
      </c>
      <c r="E6" s="2" t="s">
        <v>30</v>
      </c>
    </row>
    <row r="7" customFormat="false" ht="15" hidden="false" customHeight="false" outlineLevel="0" collapsed="false">
      <c r="A7" s="2" t="s">
        <v>32</v>
      </c>
      <c r="B7" s="2" t="s">
        <v>49</v>
      </c>
      <c r="C7" s="2" t="s">
        <v>47</v>
      </c>
      <c r="D7" s="7" t="n">
        <f aca="false">Model!B7-Model!E7</f>
        <v>0.300000000000001</v>
      </c>
      <c r="E7" s="2" t="s">
        <v>50</v>
      </c>
    </row>
    <row r="8" customFormat="false" ht="15" hidden="false" customHeight="false" outlineLevel="0" collapsed="false">
      <c r="A8" s="2" t="s">
        <v>32</v>
      </c>
      <c r="B8" s="2" t="s">
        <v>51</v>
      </c>
      <c r="C8" s="2" t="s">
        <v>37</v>
      </c>
      <c r="D8" s="6" t="n">
        <v>0.6</v>
      </c>
      <c r="E8" s="2" t="s">
        <v>30</v>
      </c>
    </row>
    <row r="9" customFormat="false" ht="15" hidden="false" customHeight="false" outlineLevel="0" collapsed="false">
      <c r="A9" s="2" t="s">
        <v>35</v>
      </c>
      <c r="B9" s="2" t="s">
        <v>52</v>
      </c>
      <c r="C9" s="2" t="s">
        <v>47</v>
      </c>
      <c r="D9" s="6" t="n">
        <v>0.1</v>
      </c>
      <c r="E9" s="2" t="s">
        <v>50</v>
      </c>
    </row>
    <row r="10" customFormat="false" ht="15" hidden="false" customHeight="false" outlineLevel="0" collapsed="false">
      <c r="A10" s="2" t="s">
        <v>35</v>
      </c>
      <c r="B10" s="2" t="s">
        <v>53</v>
      </c>
      <c r="C10" s="2" t="s">
        <v>37</v>
      </c>
      <c r="D10" s="6" t="n">
        <v>0.08</v>
      </c>
      <c r="E10" s="2" t="s">
        <v>30</v>
      </c>
    </row>
    <row r="11" customFormat="false" ht="15" hidden="false" customHeight="false" outlineLevel="0" collapsed="false">
      <c r="A11" s="2" t="s">
        <v>35</v>
      </c>
      <c r="B11" s="2" t="s">
        <v>54</v>
      </c>
      <c r="C11" s="2" t="s">
        <v>37</v>
      </c>
      <c r="D11" s="6" t="n">
        <v>0.12</v>
      </c>
      <c r="E11" s="2" t="s">
        <v>30</v>
      </c>
    </row>
    <row r="12" customFormat="false" ht="15" hidden="false" customHeight="false" outlineLevel="0" collapsed="false">
      <c r="A12" s="2" t="s">
        <v>36</v>
      </c>
      <c r="B12" s="2" t="s">
        <v>55</v>
      </c>
      <c r="C12" s="2" t="s">
        <v>37</v>
      </c>
      <c r="D12" s="6" t="n">
        <v>0.15</v>
      </c>
      <c r="E12" s="2" t="s">
        <v>30</v>
      </c>
    </row>
    <row r="13" customFormat="false" ht="15" hidden="false" customHeight="false" outlineLevel="0" collapsed="false">
      <c r="A13" s="2" t="s">
        <v>36</v>
      </c>
      <c r="B13" s="2" t="s">
        <v>48</v>
      </c>
      <c r="C13" s="2" t="s">
        <v>37</v>
      </c>
      <c r="D13" s="6" t="n">
        <v>0.1</v>
      </c>
      <c r="E13" s="2" t="s">
        <v>30</v>
      </c>
    </row>
    <row r="14" customFormat="false" ht="15" hidden="false" customHeight="false" outlineLevel="0" collapsed="false">
      <c r="A14" s="2" t="s">
        <v>36</v>
      </c>
      <c r="B14" s="2" t="s">
        <v>56</v>
      </c>
      <c r="C14" s="2" t="s">
        <v>37</v>
      </c>
      <c r="D14" s="6" t="n">
        <v>0.05</v>
      </c>
      <c r="E14" s="2" t="s">
        <v>30</v>
      </c>
    </row>
    <row r="15" customFormat="false" ht="15" hidden="false" customHeight="false" outlineLevel="0" collapsed="false">
      <c r="A15" s="2" t="s">
        <v>38</v>
      </c>
      <c r="B15" s="2" t="s">
        <v>55</v>
      </c>
      <c r="C15" s="2" t="s">
        <v>37</v>
      </c>
      <c r="D15" s="6" t="n">
        <v>0.18</v>
      </c>
      <c r="E15" s="2" t="s">
        <v>30</v>
      </c>
    </row>
    <row r="16" customFormat="false" ht="15" hidden="false" customHeight="false" outlineLevel="0" collapsed="false">
      <c r="A16" s="2" t="s">
        <v>38</v>
      </c>
      <c r="B16" s="2" t="s">
        <v>48</v>
      </c>
      <c r="C16" s="2" t="s">
        <v>37</v>
      </c>
      <c r="D16" s="6" t="n">
        <v>0.1</v>
      </c>
      <c r="E16" s="2" t="s">
        <v>30</v>
      </c>
    </row>
    <row r="17" customFormat="false" ht="15" hidden="false" customHeight="false" outlineLevel="0" collapsed="false">
      <c r="A17" s="2" t="s">
        <v>38</v>
      </c>
      <c r="B17" s="2" t="s">
        <v>56</v>
      </c>
      <c r="C17" s="2" t="s">
        <v>37</v>
      </c>
      <c r="D17" s="6" t="n">
        <v>0.12</v>
      </c>
      <c r="E17" s="2" t="s">
        <v>30</v>
      </c>
    </row>
    <row r="19" customFormat="false" ht="15" hidden="false" customHeight="false" outlineLevel="0" collapsed="false">
      <c r="A19" s="10" t="s">
        <v>57</v>
      </c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5" t="s">
        <v>42</v>
      </c>
      <c r="B20" s="5" t="s">
        <v>58</v>
      </c>
      <c r="C20" s="5" t="s">
        <v>59</v>
      </c>
      <c r="D20" s="5" t="s">
        <v>60</v>
      </c>
    </row>
    <row r="21" customFormat="false" ht="15" hidden="false" customHeight="false" outlineLevel="0" collapsed="false">
      <c r="A21" s="2" t="s">
        <v>28</v>
      </c>
      <c r="B21" s="8" t="n">
        <f aca="false">SUMIF($A$5:$A$17,A21,$D$5:$D$17)</f>
        <v>0.08</v>
      </c>
      <c r="C21" s="7" t="n">
        <f aca="false">Summary!D5</f>
        <v>0.0799999999999996</v>
      </c>
      <c r="D21" s="8" t="n">
        <f aca="false">B21-C21</f>
        <v>3.7470027081099E-016</v>
      </c>
    </row>
    <row r="22" customFormat="false" ht="15" hidden="false" customHeight="false" outlineLevel="0" collapsed="false">
      <c r="A22" s="2" t="s">
        <v>32</v>
      </c>
      <c r="B22" s="8" t="n">
        <f aca="false">SUMIF($A$5:$A$17,A22,$D$5:$D$17)</f>
        <v>0.900000000000001</v>
      </c>
      <c r="C22" s="7" t="n">
        <f aca="false">Summary!D6</f>
        <v>0.899999999999999</v>
      </c>
      <c r="D22" s="8" t="n">
        <f aca="false">B22-C22</f>
        <v>0</v>
      </c>
    </row>
    <row r="23" customFormat="false" ht="15" hidden="false" customHeight="false" outlineLevel="0" collapsed="false">
      <c r="A23" s="2" t="s">
        <v>35</v>
      </c>
      <c r="B23" s="8" t="n">
        <f aca="false">SUMIF($A$5:$A$17,A23,$D$5:$D$17)</f>
        <v>0.3</v>
      </c>
      <c r="C23" s="7" t="n">
        <f aca="false">Summary!D7</f>
        <v>0.300000000000001</v>
      </c>
      <c r="D23" s="8" t="n">
        <f aca="false">B23-C23</f>
        <v>0</v>
      </c>
    </row>
    <row r="24" customFormat="false" ht="15" hidden="false" customHeight="false" outlineLevel="0" collapsed="false">
      <c r="A24" s="2" t="s">
        <v>36</v>
      </c>
      <c r="B24" s="8" t="n">
        <f aca="false">SUMIF($A$5:$A$17,A24,$D$5:$D$17)</f>
        <v>0.3</v>
      </c>
      <c r="C24" s="7" t="n">
        <f aca="false">Summary!D8</f>
        <v>0.299999999999999</v>
      </c>
      <c r="D24" s="8" t="n">
        <f aca="false">B24-C24</f>
        <v>0</v>
      </c>
    </row>
    <row r="25" customFormat="false" ht="15" hidden="false" customHeight="false" outlineLevel="0" collapsed="false">
      <c r="A25" s="2" t="s">
        <v>38</v>
      </c>
      <c r="B25" s="8" t="n">
        <f aca="false">SUMIF($A$5:$A$17,A25,$D$5:$D$17)</f>
        <v>0.4</v>
      </c>
      <c r="C25" s="7" t="n">
        <f aca="false">Summary!D9</f>
        <v>0.4</v>
      </c>
      <c r="D25" s="8" t="n">
        <f aca="false">B25-C25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5" t="s">
        <v>63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27</v>
      </c>
      <c r="G4" s="5" t="s">
        <v>68</v>
      </c>
      <c r="H4" s="5" t="s">
        <v>69</v>
      </c>
    </row>
    <row r="5" customFormat="false" ht="15" hidden="false" customHeight="false" outlineLevel="0" collapsed="false">
      <c r="A5" s="2" t="s">
        <v>70</v>
      </c>
      <c r="B5" s="2" t="s">
        <v>71</v>
      </c>
      <c r="C5" s="12" t="n">
        <v>80</v>
      </c>
      <c r="D5" s="2" t="s">
        <v>72</v>
      </c>
      <c r="E5" s="2" t="s">
        <v>73</v>
      </c>
      <c r="F5" s="2" t="s">
        <v>74</v>
      </c>
      <c r="G5" s="2" t="s">
        <v>75</v>
      </c>
      <c r="H5" s="2" t="s">
        <v>76</v>
      </c>
    </row>
    <row r="6" customFormat="false" ht="15" hidden="false" customHeight="false" outlineLevel="0" collapsed="false">
      <c r="A6" s="2" t="s">
        <v>77</v>
      </c>
      <c r="B6" s="2" t="s">
        <v>78</v>
      </c>
      <c r="C6" s="13" t="n">
        <v>2.0625</v>
      </c>
      <c r="D6" s="2" t="s">
        <v>79</v>
      </c>
      <c r="E6" s="2" t="s">
        <v>73</v>
      </c>
      <c r="F6" s="2" t="s">
        <v>74</v>
      </c>
      <c r="G6" s="2" t="s">
        <v>80</v>
      </c>
      <c r="H6" s="2" t="s">
        <v>76</v>
      </c>
    </row>
    <row r="7" customFormat="false" ht="15" hidden="false" customHeight="false" outlineLevel="0" collapsed="false">
      <c r="A7" s="2" t="s">
        <v>81</v>
      </c>
      <c r="B7" s="2" t="s">
        <v>82</v>
      </c>
      <c r="C7" s="14" t="n">
        <v>165</v>
      </c>
      <c r="D7" s="2" t="s">
        <v>83</v>
      </c>
      <c r="E7" s="2" t="s">
        <v>73</v>
      </c>
      <c r="F7" s="2" t="s">
        <v>74</v>
      </c>
      <c r="G7" s="2" t="s">
        <v>84</v>
      </c>
      <c r="H7" s="2" t="s">
        <v>76</v>
      </c>
    </row>
    <row r="8" customFormat="false" ht="15" hidden="false" customHeight="false" outlineLevel="0" collapsed="false">
      <c r="A8" s="2" t="s">
        <v>85</v>
      </c>
      <c r="B8" s="2" t="s">
        <v>86</v>
      </c>
      <c r="C8" s="14" t="n">
        <v>168</v>
      </c>
      <c r="D8" s="2" t="s">
        <v>83</v>
      </c>
      <c r="E8" s="2" t="s">
        <v>73</v>
      </c>
      <c r="F8" s="2" t="s">
        <v>74</v>
      </c>
      <c r="G8" s="2" t="s">
        <v>84</v>
      </c>
      <c r="H8" s="2" t="s">
        <v>76</v>
      </c>
    </row>
    <row r="9" customFormat="false" ht="15" hidden="false" customHeight="false" outlineLevel="0" collapsed="false">
      <c r="A9" s="2" t="s">
        <v>87</v>
      </c>
      <c r="B9" s="2" t="s">
        <v>88</v>
      </c>
      <c r="C9" s="14" t="n">
        <v>3</v>
      </c>
      <c r="D9" s="2" t="s">
        <v>83</v>
      </c>
      <c r="E9" s="2" t="s">
        <v>73</v>
      </c>
      <c r="F9" s="2" t="s">
        <v>74</v>
      </c>
      <c r="G9" s="2" t="s">
        <v>89</v>
      </c>
      <c r="H9" s="2" t="s">
        <v>76</v>
      </c>
    </row>
    <row r="10" customFormat="false" ht="15" hidden="false" customHeight="false" outlineLevel="0" collapsed="false">
      <c r="A10" s="2" t="s">
        <v>90</v>
      </c>
      <c r="B10" s="2" t="s">
        <v>91</v>
      </c>
      <c r="C10" s="15" t="n">
        <v>19</v>
      </c>
      <c r="D10" s="2" t="s">
        <v>92</v>
      </c>
      <c r="E10" s="2" t="s">
        <v>93</v>
      </c>
      <c r="F10" s="2" t="s">
        <v>31</v>
      </c>
      <c r="G10" s="2" t="s">
        <v>94</v>
      </c>
      <c r="H10" s="2" t="s">
        <v>76</v>
      </c>
    </row>
    <row r="11" customFormat="false" ht="15" hidden="false" customHeight="false" outlineLevel="0" collapsed="false">
      <c r="A11" s="2" t="s">
        <v>95</v>
      </c>
      <c r="B11" s="2" t="s">
        <v>96</v>
      </c>
      <c r="C11" s="16" t="n">
        <v>0.6</v>
      </c>
      <c r="D11" s="2" t="s">
        <v>97</v>
      </c>
      <c r="E11" s="2" t="s">
        <v>93</v>
      </c>
      <c r="F11" s="2" t="s">
        <v>31</v>
      </c>
      <c r="G11" s="2" t="s">
        <v>98</v>
      </c>
      <c r="H11" s="2" t="s">
        <v>76</v>
      </c>
    </row>
    <row r="12" customFormat="false" ht="15" hidden="false" customHeight="false" outlineLevel="0" collapsed="false">
      <c r="A12" s="2" t="s">
        <v>99</v>
      </c>
      <c r="B12" s="2" t="s">
        <v>100</v>
      </c>
      <c r="C12" s="9" t="n">
        <f aca="false">1-C11</f>
        <v>0.4</v>
      </c>
      <c r="D12" s="2" t="s">
        <v>97</v>
      </c>
      <c r="E12" s="2" t="s">
        <v>101</v>
      </c>
      <c r="F12" s="2" t="s">
        <v>31</v>
      </c>
      <c r="G12" s="2" t="s">
        <v>98</v>
      </c>
      <c r="H12" s="2" t="s">
        <v>76</v>
      </c>
    </row>
    <row r="13" customFormat="false" ht="15" hidden="false" customHeight="false" outlineLevel="0" collapsed="false">
      <c r="A13" s="2" t="s">
        <v>102</v>
      </c>
      <c r="B13" s="2" t="s">
        <v>103</v>
      </c>
      <c r="C13" s="16" t="n">
        <v>0.15</v>
      </c>
      <c r="D13" s="2" t="s">
        <v>97</v>
      </c>
      <c r="E13" s="2" t="s">
        <v>93</v>
      </c>
      <c r="F13" s="2" t="s">
        <v>74</v>
      </c>
      <c r="G13" s="2" t="s">
        <v>104</v>
      </c>
      <c r="H13" s="2" t="s">
        <v>76</v>
      </c>
    </row>
    <row r="14" customFormat="false" ht="15" hidden="false" customHeight="false" outlineLevel="0" collapsed="false">
      <c r="A14" s="2" t="s">
        <v>105</v>
      </c>
      <c r="B14" s="2" t="s">
        <v>106</v>
      </c>
      <c r="C14" s="16" t="n">
        <v>-0.1</v>
      </c>
      <c r="D14" s="2" t="s">
        <v>97</v>
      </c>
      <c r="E14" s="2" t="s">
        <v>93</v>
      </c>
      <c r="F14" s="2" t="s">
        <v>74</v>
      </c>
      <c r="G14" s="2" t="s">
        <v>104</v>
      </c>
      <c r="H14" s="2" t="s">
        <v>76</v>
      </c>
    </row>
    <row r="15" customFormat="false" ht="15" hidden="false" customHeight="false" outlineLevel="0" collapsed="false">
      <c r="A15" s="2" t="s">
        <v>107</v>
      </c>
      <c r="B15" s="2" t="s">
        <v>108</v>
      </c>
      <c r="C15" s="16" t="n">
        <v>0.25</v>
      </c>
      <c r="D15" s="2" t="s">
        <v>97</v>
      </c>
      <c r="E15" s="2" t="s">
        <v>93</v>
      </c>
      <c r="F15" s="2" t="s">
        <v>31</v>
      </c>
      <c r="G15" s="2" t="s">
        <v>109</v>
      </c>
      <c r="H15" s="2" t="s">
        <v>76</v>
      </c>
    </row>
    <row r="16" customFormat="false" ht="15" hidden="false" customHeight="false" outlineLevel="0" collapsed="false">
      <c r="A16" s="2" t="s">
        <v>110</v>
      </c>
      <c r="B16" s="2" t="s">
        <v>111</v>
      </c>
      <c r="C16" s="16" t="n">
        <v>0.5</v>
      </c>
      <c r="D16" s="2" t="s">
        <v>97</v>
      </c>
      <c r="E16" s="2" t="s">
        <v>93</v>
      </c>
      <c r="F16" s="2" t="s">
        <v>31</v>
      </c>
      <c r="G16" s="2" t="s">
        <v>109</v>
      </c>
      <c r="H16" s="2" t="s">
        <v>76</v>
      </c>
    </row>
    <row r="17" customFormat="false" ht="15" hidden="false" customHeight="false" outlineLevel="0" collapsed="false">
      <c r="A17" s="2" t="s">
        <v>112</v>
      </c>
      <c r="B17" s="2" t="s">
        <v>113</v>
      </c>
      <c r="C17" s="16" t="n">
        <v>0.25</v>
      </c>
      <c r="D17" s="2" t="s">
        <v>97</v>
      </c>
      <c r="E17" s="2" t="s">
        <v>93</v>
      </c>
      <c r="F17" s="2" t="s">
        <v>31</v>
      </c>
      <c r="G17" s="2" t="s">
        <v>109</v>
      </c>
      <c r="H17" s="2" t="s">
        <v>76</v>
      </c>
    </row>
    <row r="18" customFormat="false" ht="15" hidden="false" customHeight="false" outlineLevel="0" collapsed="false">
      <c r="A18" s="2" t="s">
        <v>114</v>
      </c>
      <c r="B18" s="2" t="s">
        <v>115</v>
      </c>
      <c r="C18" s="17" t="n">
        <f aca="false">Model!B9</f>
        <v>0.268191268191268</v>
      </c>
      <c r="D18" s="2" t="s">
        <v>97</v>
      </c>
      <c r="E18" s="2" t="s">
        <v>101</v>
      </c>
      <c r="F18" s="2" t="s">
        <v>74</v>
      </c>
      <c r="G18" s="2" t="s">
        <v>116</v>
      </c>
      <c r="H18" s="2" t="s">
        <v>76</v>
      </c>
    </row>
    <row r="19" customFormat="false" ht="15" hidden="false" customHeight="false" outlineLevel="0" collapsed="false">
      <c r="A19" s="2" t="s">
        <v>117</v>
      </c>
      <c r="B19" s="2" t="s">
        <v>118</v>
      </c>
      <c r="C19" s="9" t="n">
        <f aca="false">C18</f>
        <v>0.268191268191268</v>
      </c>
      <c r="D19" s="2" t="s">
        <v>97</v>
      </c>
      <c r="E19" s="2" t="s">
        <v>93</v>
      </c>
      <c r="F19" s="2" t="s">
        <v>31</v>
      </c>
      <c r="G19" s="2" t="s">
        <v>119</v>
      </c>
      <c r="H19" s="2" t="s">
        <v>76</v>
      </c>
    </row>
    <row r="20" customFormat="false" ht="15" hidden="false" customHeight="false" outlineLevel="0" collapsed="false">
      <c r="A20" s="2" t="s">
        <v>120</v>
      </c>
      <c r="B20" s="2" t="s">
        <v>121</v>
      </c>
      <c r="C20" s="14" t="n">
        <v>51.8</v>
      </c>
      <c r="D20" s="2" t="s">
        <v>83</v>
      </c>
      <c r="E20" s="2" t="s">
        <v>93</v>
      </c>
      <c r="F20" s="2" t="s">
        <v>31</v>
      </c>
      <c r="G20" s="2" t="s">
        <v>116</v>
      </c>
      <c r="H20" s="2" t="s">
        <v>76</v>
      </c>
    </row>
    <row r="21" customFormat="false" ht="15" hidden="false" customHeight="false" outlineLevel="0" collapsed="false">
      <c r="A21" s="2" t="s">
        <v>122</v>
      </c>
      <c r="B21" s="2" t="s">
        <v>28</v>
      </c>
      <c r="C21" s="6" t="n">
        <v>2.28</v>
      </c>
      <c r="D21" s="2" t="s">
        <v>83</v>
      </c>
      <c r="E21" s="2" t="s">
        <v>93</v>
      </c>
      <c r="F21" s="2" t="s">
        <v>31</v>
      </c>
      <c r="G21" s="2" t="s">
        <v>123</v>
      </c>
      <c r="H21" s="2" t="s">
        <v>76</v>
      </c>
    </row>
    <row r="22" customFormat="false" ht="15" hidden="false" customHeight="false" outlineLevel="0" collapsed="false">
      <c r="A22" s="2" t="s">
        <v>124</v>
      </c>
      <c r="B22" s="2" t="s">
        <v>125</v>
      </c>
      <c r="C22" s="16" t="n">
        <v>0.02</v>
      </c>
      <c r="D22" s="2" t="s">
        <v>97</v>
      </c>
      <c r="E22" s="2" t="s">
        <v>93</v>
      </c>
      <c r="F22" s="2" t="s">
        <v>74</v>
      </c>
      <c r="G22" s="2" t="s">
        <v>126</v>
      </c>
      <c r="H22" s="2" t="s">
        <v>76</v>
      </c>
    </row>
    <row r="23" customFormat="false" ht="15" hidden="false" customHeight="false" outlineLevel="0" collapsed="false">
      <c r="A23" s="2" t="s">
        <v>127</v>
      </c>
      <c r="B23" s="2" t="s">
        <v>128</v>
      </c>
      <c r="C23" s="16" t="n">
        <v>0.05</v>
      </c>
      <c r="D23" s="2" t="s">
        <v>97</v>
      </c>
      <c r="E23" s="2" t="s">
        <v>93</v>
      </c>
      <c r="F23" s="2" t="s">
        <v>74</v>
      </c>
      <c r="G23" s="2" t="s">
        <v>126</v>
      </c>
      <c r="H23" s="2" t="s">
        <v>76</v>
      </c>
    </row>
    <row r="24" customFormat="false" ht="15" hidden="false" customHeight="false" outlineLevel="0" collapsed="false">
      <c r="A24" s="2" t="s">
        <v>129</v>
      </c>
      <c r="B24" s="2" t="s">
        <v>130</v>
      </c>
      <c r="C24" s="18" t="n">
        <v>0.9</v>
      </c>
      <c r="D24" s="2" t="s">
        <v>92</v>
      </c>
      <c r="E24" s="2" t="s">
        <v>93</v>
      </c>
      <c r="F24" s="2" t="s">
        <v>31</v>
      </c>
      <c r="G24" s="2" t="s">
        <v>131</v>
      </c>
      <c r="H24" s="2" t="s">
        <v>76</v>
      </c>
    </row>
    <row r="25" customFormat="false" ht="15" hidden="false" customHeight="false" outlineLevel="0" collapsed="false">
      <c r="A25" s="2" t="s">
        <v>132</v>
      </c>
      <c r="B25" s="2" t="s">
        <v>133</v>
      </c>
      <c r="C25" s="16" t="n">
        <v>0.03</v>
      </c>
      <c r="D25" s="2" t="s">
        <v>97</v>
      </c>
      <c r="E25" s="2" t="s">
        <v>93</v>
      </c>
      <c r="F25" s="2" t="s">
        <v>31</v>
      </c>
      <c r="G25" s="2" t="s">
        <v>134</v>
      </c>
      <c r="H25" s="2" t="s">
        <v>76</v>
      </c>
    </row>
    <row r="26" customFormat="false" ht="15" hidden="false" customHeight="false" outlineLevel="0" collapsed="false">
      <c r="A26" s="2" t="s">
        <v>135</v>
      </c>
      <c r="B26" s="2" t="s">
        <v>136</v>
      </c>
      <c r="C26" s="16" t="n">
        <v>0.7</v>
      </c>
      <c r="D26" s="2" t="s">
        <v>97</v>
      </c>
      <c r="E26" s="2" t="s">
        <v>93</v>
      </c>
      <c r="F26" s="2" t="s">
        <v>39</v>
      </c>
      <c r="G26" s="2" t="s">
        <v>137</v>
      </c>
      <c r="H26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32"/>
  </cols>
  <sheetData>
    <row r="1" customFormat="false" ht="16.1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4" t="s">
        <v>139</v>
      </c>
    </row>
    <row r="4" customFormat="false" ht="15" hidden="false" customHeight="false" outlineLevel="0" collapsed="false">
      <c r="A4" s="5" t="s">
        <v>20</v>
      </c>
      <c r="B4" s="5" t="s">
        <v>140</v>
      </c>
      <c r="C4" s="5" t="s">
        <v>141</v>
      </c>
      <c r="D4" s="5" t="s">
        <v>142</v>
      </c>
      <c r="E4" s="5" t="s">
        <v>143</v>
      </c>
      <c r="F4" s="5" t="s">
        <v>144</v>
      </c>
      <c r="G4" s="5" t="s">
        <v>145</v>
      </c>
      <c r="H4" s="5" t="s">
        <v>146</v>
      </c>
      <c r="I4" s="5" t="s">
        <v>147</v>
      </c>
    </row>
    <row r="5" customFormat="false" ht="15" hidden="false" customHeight="false" outlineLevel="0" collapsed="false">
      <c r="A5" s="2" t="s">
        <v>148</v>
      </c>
      <c r="B5" s="6" t="n">
        <v>3.4</v>
      </c>
      <c r="C5" s="6" t="n">
        <v>2.93</v>
      </c>
      <c r="D5" s="9" t="n">
        <f aca="false">B5/C5-1</f>
        <v>0.160409556313993</v>
      </c>
      <c r="E5" s="6" t="n">
        <v>3.3</v>
      </c>
      <c r="F5" s="9" t="n">
        <f aca="false">B5/E5-1</f>
        <v>0.0303030303030303</v>
      </c>
      <c r="G5" s="2" t="s">
        <v>149</v>
      </c>
      <c r="H5" s="2" t="s">
        <v>149</v>
      </c>
      <c r="I5" s="2" t="s">
        <v>150</v>
      </c>
    </row>
    <row r="6" customFormat="false" ht="15" hidden="false" customHeight="false" outlineLevel="0" collapsed="false">
      <c r="A6" s="2" t="s">
        <v>151</v>
      </c>
      <c r="B6" s="14" t="n">
        <v>48.1</v>
      </c>
      <c r="C6" s="14" t="n">
        <v>40.4</v>
      </c>
      <c r="D6" s="9" t="n">
        <f aca="false">B6/C6-1</f>
        <v>0.190594059405941</v>
      </c>
      <c r="E6" s="14" t="n">
        <v>47.5</v>
      </c>
      <c r="F6" s="9" t="n">
        <f aca="false">B6/E6-1</f>
        <v>0.0126315789473686</v>
      </c>
      <c r="G6" s="8" t="n">
        <f aca="false">D35</f>
        <v>47</v>
      </c>
      <c r="H6" s="9" t="n">
        <f aca="false">B6/G6-1</f>
        <v>0.0234042553191489</v>
      </c>
      <c r="I6" s="2" t="s">
        <v>150</v>
      </c>
    </row>
    <row r="7" customFormat="false" ht="15" hidden="false" customHeight="false" outlineLevel="0" collapsed="false">
      <c r="A7" s="2" t="s">
        <v>152</v>
      </c>
      <c r="B7" s="14" t="n">
        <v>12.9</v>
      </c>
      <c r="C7" s="14" t="n">
        <v>11</v>
      </c>
      <c r="D7" s="9" t="n">
        <f aca="false">B7/C7-1</f>
        <v>0.172727272727273</v>
      </c>
      <c r="E7" s="14" t="n">
        <v>12.6</v>
      </c>
      <c r="F7" s="9" t="n">
        <f aca="false">B7/E7-1</f>
        <v>0.0238095238095239</v>
      </c>
      <c r="G7" s="2" t="s">
        <v>149</v>
      </c>
      <c r="H7" s="2" t="s">
        <v>149</v>
      </c>
      <c r="I7" s="2" t="s">
        <v>150</v>
      </c>
    </row>
    <row r="8" customFormat="false" ht="15" hidden="false" customHeight="false" outlineLevel="0" collapsed="false">
      <c r="A8" s="2" t="s">
        <v>153</v>
      </c>
      <c r="B8" s="6" t="n">
        <v>2.1</v>
      </c>
      <c r="C8" s="6" t="n">
        <v>1.6</v>
      </c>
      <c r="D8" s="9" t="n">
        <f aca="false">B8/C8-1</f>
        <v>0.3125</v>
      </c>
      <c r="E8" s="6" t="n">
        <v>2</v>
      </c>
      <c r="F8" s="9" t="n">
        <f aca="false">B8/E8-1</f>
        <v>0.05</v>
      </c>
      <c r="G8" s="8" t="n">
        <f aca="false">D36</f>
        <v>2</v>
      </c>
      <c r="H8" s="9" t="n">
        <f aca="false">B8/G8-1</f>
        <v>0.05</v>
      </c>
      <c r="I8" s="2" t="s">
        <v>150</v>
      </c>
    </row>
    <row r="9" customFormat="false" ht="15" hidden="false" customHeight="false" outlineLevel="0" collapsed="false">
      <c r="A9" s="2" t="s">
        <v>154</v>
      </c>
      <c r="B9" s="9" t="n">
        <f aca="false">B7/B6</f>
        <v>0.268191268191268</v>
      </c>
      <c r="C9" s="9" t="n">
        <f aca="false">C7/C6</f>
        <v>0.272277227722772</v>
      </c>
      <c r="D9" s="19" t="n">
        <f aca="false">(B9-C9)*10000</f>
        <v>-40.8595953150409</v>
      </c>
    </row>
    <row r="10" customFormat="false" ht="15" hidden="false" customHeight="false" outlineLevel="0" collapsed="false">
      <c r="A10" s="2" t="s">
        <v>155</v>
      </c>
      <c r="B10" s="20" t="n">
        <f aca="false">B6/B5</f>
        <v>14.1470588235294</v>
      </c>
      <c r="C10" s="20" t="n">
        <f aca="false">C6/C5</f>
        <v>13.7883959044369</v>
      </c>
      <c r="D10" s="9" t="n">
        <f aca="false">B10/C10-1</f>
        <v>0.0260119394292373</v>
      </c>
    </row>
    <row r="12" customFormat="false" ht="15" hidden="false" customHeight="false" outlineLevel="0" collapsed="false">
      <c r="A12" s="10" t="s">
        <v>156</v>
      </c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2" t="s">
        <v>157</v>
      </c>
      <c r="B13" s="14" t="n">
        <v>24.5</v>
      </c>
      <c r="C13" s="14" t="n">
        <v>20.9</v>
      </c>
      <c r="D13" s="9" t="n">
        <f aca="false">B13/C13-1</f>
        <v>0.172248803827751</v>
      </c>
    </row>
    <row r="14" customFormat="false" ht="15" hidden="false" customHeight="false" outlineLevel="0" collapsed="false">
      <c r="A14" s="2" t="s">
        <v>158</v>
      </c>
      <c r="B14" s="14" t="n">
        <v>21.8</v>
      </c>
      <c r="C14" s="14" t="n">
        <v>18</v>
      </c>
      <c r="D14" s="9" t="n">
        <f aca="false">B14/C14-1</f>
        <v>0.211111111111111</v>
      </c>
    </row>
    <row r="15" customFormat="false" ht="15" hidden="false" customHeight="false" outlineLevel="0" collapsed="false">
      <c r="A15" s="2" t="s">
        <v>159</v>
      </c>
      <c r="B15" s="14" t="n">
        <v>1.8</v>
      </c>
      <c r="C15" s="14" t="n">
        <v>1.5</v>
      </c>
      <c r="D15" s="9" t="n">
        <f aca="false">B15/C15-1</f>
        <v>0.2</v>
      </c>
    </row>
    <row r="16" customFormat="false" ht="15" hidden="false" customHeight="false" outlineLevel="0" collapsed="false">
      <c r="A16" s="3" t="s">
        <v>160</v>
      </c>
      <c r="B16" s="21" t="n">
        <f aca="false">SUM(B13:B15)</f>
        <v>48.1</v>
      </c>
      <c r="C16" s="21" t="n">
        <f aca="false">SUM(C13:C15)</f>
        <v>40.4</v>
      </c>
      <c r="D16" s="9" t="n">
        <f aca="false">B16/C16-1</f>
        <v>0.190594059405941</v>
      </c>
    </row>
    <row r="18" customFormat="false" ht="15" hidden="false" customHeight="false" outlineLevel="0" collapsed="false">
      <c r="A18" s="10" t="s">
        <v>161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2" t="s">
        <v>157</v>
      </c>
      <c r="B19" s="6" t="n">
        <v>1.5</v>
      </c>
      <c r="I19" s="2" t="s">
        <v>162</v>
      </c>
    </row>
    <row r="20" customFormat="false" ht="15" hidden="false" customHeight="false" outlineLevel="0" collapsed="false">
      <c r="A20" s="2" t="s">
        <v>158</v>
      </c>
      <c r="B20" s="6" t="n">
        <v>0.8</v>
      </c>
      <c r="C20" s="6" t="n">
        <v>0.59</v>
      </c>
    </row>
    <row r="21" customFormat="false" ht="15" hidden="false" customHeight="false" outlineLevel="0" collapsed="false">
      <c r="A21" s="2" t="s">
        <v>159</v>
      </c>
      <c r="B21" s="6" t="n">
        <v>0.02</v>
      </c>
    </row>
    <row r="22" customFormat="false" ht="15" hidden="false" customHeight="false" outlineLevel="0" collapsed="false">
      <c r="A22" s="2" t="s">
        <v>163</v>
      </c>
      <c r="B22" s="6" t="n">
        <v>-0.22</v>
      </c>
    </row>
    <row r="23" customFormat="false" ht="15" hidden="false" customHeight="false" outlineLevel="0" collapsed="false">
      <c r="A23" s="3" t="s">
        <v>160</v>
      </c>
      <c r="B23" s="8" t="n">
        <f aca="false">SUM(B19:B22)</f>
        <v>2.1</v>
      </c>
    </row>
    <row r="24" customFormat="false" ht="15" hidden="false" customHeight="false" outlineLevel="0" collapsed="false">
      <c r="A24" s="2" t="s">
        <v>164</v>
      </c>
      <c r="B24" s="9" t="n">
        <f aca="false">B20/B14</f>
        <v>0.036697247706422</v>
      </c>
      <c r="C24" s="9" t="n">
        <f aca="false">C20/C14</f>
        <v>0.0327777777777778</v>
      </c>
      <c r="D24" s="19" t="n">
        <f aca="false">(B24-C24)*10000</f>
        <v>39.1946992864425</v>
      </c>
    </row>
    <row r="26" customFormat="false" ht="15" hidden="false" customHeight="false" outlineLevel="0" collapsed="false">
      <c r="A26" s="10" t="s">
        <v>165</v>
      </c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false" outlineLevel="0" collapsed="false">
      <c r="A27" s="2" t="s">
        <v>166</v>
      </c>
      <c r="B27" s="6" t="n">
        <v>2.4</v>
      </c>
    </row>
    <row r="28" customFormat="false" ht="15" hidden="false" customHeight="false" outlineLevel="0" collapsed="false">
      <c r="A28" s="2" t="s">
        <v>167</v>
      </c>
      <c r="B28" s="6" t="n">
        <v>0.1</v>
      </c>
    </row>
    <row r="29" customFormat="false" ht="15" hidden="false" customHeight="false" outlineLevel="0" collapsed="false">
      <c r="A29" s="2" t="s">
        <v>168</v>
      </c>
      <c r="B29" s="8" t="n">
        <f aca="false">B27-B28</f>
        <v>2.3</v>
      </c>
    </row>
    <row r="30" customFormat="false" ht="15" hidden="false" customHeight="false" outlineLevel="0" collapsed="false">
      <c r="A30" s="2" t="s">
        <v>169</v>
      </c>
      <c r="B30" s="9" t="n">
        <f aca="false">B29/B8</f>
        <v>1.0952380952381</v>
      </c>
    </row>
    <row r="31" customFormat="false" ht="15" hidden="false" customHeight="false" outlineLevel="0" collapsed="false">
      <c r="A31" s="2" t="s">
        <v>170</v>
      </c>
      <c r="B31" s="6" t="n">
        <v>0.45</v>
      </c>
    </row>
    <row r="32" customFormat="false" ht="15" hidden="false" customHeight="false" outlineLevel="0" collapsed="false">
      <c r="A32" s="2" t="s">
        <v>171</v>
      </c>
      <c r="B32" s="6" t="n">
        <v>2.08</v>
      </c>
      <c r="I32" s="2" t="s">
        <v>172</v>
      </c>
    </row>
    <row r="34" customFormat="false" ht="23.85" hidden="false" customHeight="false" outlineLevel="0" collapsed="false">
      <c r="A34" s="5" t="s">
        <v>173</v>
      </c>
      <c r="B34" s="5" t="s">
        <v>39</v>
      </c>
      <c r="C34" s="5" t="s">
        <v>74</v>
      </c>
      <c r="D34" s="5" t="s">
        <v>174</v>
      </c>
      <c r="E34" s="5" t="s">
        <v>175</v>
      </c>
      <c r="F34" s="5" t="s">
        <v>146</v>
      </c>
      <c r="G34" s="5" t="s">
        <v>176</v>
      </c>
      <c r="H34" s="5" t="s">
        <v>177</v>
      </c>
      <c r="I34" s="11"/>
    </row>
    <row r="35" customFormat="false" ht="15" hidden="false" customHeight="false" outlineLevel="0" collapsed="false">
      <c r="A35" s="2" t="s">
        <v>178</v>
      </c>
      <c r="B35" s="14" t="n">
        <v>46</v>
      </c>
      <c r="C35" s="14" t="n">
        <v>48</v>
      </c>
      <c r="D35" s="8" t="n">
        <f aca="false">AVERAGE(B35:C35)</f>
        <v>47</v>
      </c>
      <c r="E35" s="8" t="n">
        <f aca="false">B6</f>
        <v>48.1</v>
      </c>
      <c r="F35" s="9" t="n">
        <f aca="false">E35/D35-1</f>
        <v>0.0234042553191489</v>
      </c>
    </row>
    <row r="36" customFormat="false" ht="15" hidden="false" customHeight="false" outlineLevel="0" collapsed="false">
      <c r="A36" s="2" t="s">
        <v>179</v>
      </c>
      <c r="B36" s="14" t="n">
        <v>1.9</v>
      </c>
      <c r="C36" s="14" t="n">
        <v>2.1</v>
      </c>
      <c r="D36" s="8" t="n">
        <f aca="false">AVERAGE(B36:C36)</f>
        <v>2</v>
      </c>
      <c r="E36" s="8" t="n">
        <f aca="false">B8</f>
        <v>2.1</v>
      </c>
      <c r="F36" s="9" t="n">
        <f aca="false">E36/D36-1</f>
        <v>0.05</v>
      </c>
    </row>
    <row r="37" customFormat="false" ht="15" hidden="false" customHeight="false" outlineLevel="0" collapsed="false">
      <c r="A37" s="2" t="s">
        <v>180</v>
      </c>
      <c r="B37" s="14" t="n">
        <v>50.5</v>
      </c>
      <c r="C37" s="14" t="n">
        <v>52</v>
      </c>
      <c r="D37" s="8" t="n">
        <f aca="false">AVERAGE(B37:C37)</f>
        <v>51.25</v>
      </c>
      <c r="E37" s="7" t="n">
        <f aca="false">Assumptions!$C$20</f>
        <v>51.8</v>
      </c>
      <c r="F37" s="9" t="n">
        <f aca="false">E37/D37-1</f>
        <v>0.0107317073170732</v>
      </c>
      <c r="G37" s="17" t="n">
        <f aca="false">Assumptions!$C$22</f>
        <v>0.02</v>
      </c>
      <c r="H37" s="2" t="str">
        <f aca="false">IF(ABS(F37)&gt;G37,"WRITTEN REASON REQUIRED","ok")</f>
        <v>ok</v>
      </c>
      <c r="I37" s="2" t="s">
        <v>181</v>
      </c>
    </row>
    <row r="38" customFormat="false" ht="15" hidden="false" customHeight="false" outlineLevel="0" collapsed="false">
      <c r="A38" s="2" t="s">
        <v>182</v>
      </c>
      <c r="B38" s="14" t="n">
        <v>2.2</v>
      </c>
      <c r="C38" s="14" t="n">
        <v>2.3</v>
      </c>
      <c r="D38" s="8" t="n">
        <f aca="false">AVERAGE(B38:C38)</f>
        <v>2.25</v>
      </c>
      <c r="E38" s="7" t="n">
        <f aca="false">Assumptions!$C$21</f>
        <v>2.28</v>
      </c>
      <c r="F38" s="9" t="n">
        <f aca="false">E38/D38-1</f>
        <v>0.0133333333333332</v>
      </c>
      <c r="G38" s="17" t="n">
        <f aca="false">Assumptions!$C$23</f>
        <v>0.05</v>
      </c>
      <c r="H38" s="2" t="str">
        <f aca="false">IF(ABS(F38)&gt;G38,"WRITTEN REASON REQUIRED","ok")</f>
        <v>ok</v>
      </c>
    </row>
    <row r="39" customFormat="false" ht="15" hidden="false" customHeight="false" outlineLevel="0" collapsed="false">
      <c r="A39" s="2" t="s">
        <v>183</v>
      </c>
      <c r="B39" s="9" t="n">
        <f aca="false">D37/B6-1</f>
        <v>0.0654885654885655</v>
      </c>
    </row>
    <row r="40" customFormat="false" ht="15" hidden="false" customHeight="false" outlineLevel="0" collapsed="false">
      <c r="A40" s="2" t="s">
        <v>184</v>
      </c>
      <c r="B40" s="9" t="n">
        <f aca="false">D38/B8-1</f>
        <v>0.0714285714285714</v>
      </c>
    </row>
    <row r="42" customFormat="false" ht="15" hidden="false" customHeight="false" outlineLevel="0" collapsed="false">
      <c r="A42" s="10" t="s">
        <v>185</v>
      </c>
      <c r="B42" s="11"/>
      <c r="C42" s="11"/>
      <c r="D42" s="11"/>
      <c r="E42" s="11"/>
      <c r="F42" s="11"/>
      <c r="G42" s="11"/>
      <c r="H42" s="11"/>
      <c r="I42" s="11"/>
    </row>
    <row r="43" customFormat="false" ht="15" hidden="false" customHeight="false" outlineLevel="0" collapsed="false">
      <c r="A43" s="2" t="s">
        <v>151</v>
      </c>
      <c r="B43" s="22" t="n">
        <f aca="false">Assumptions!$C$20</f>
        <v>51.8</v>
      </c>
    </row>
    <row r="44" customFormat="false" ht="15" hidden="false" customHeight="false" outlineLevel="0" collapsed="false">
      <c r="A44" s="2" t="s">
        <v>186</v>
      </c>
      <c r="B44" s="17" t="n">
        <f aca="false">Assumptions!$C$19</f>
        <v>0.268191268191268</v>
      </c>
    </row>
    <row r="45" customFormat="false" ht="15" hidden="false" customHeight="false" outlineLevel="0" collapsed="false">
      <c r="A45" s="2" t="s">
        <v>187</v>
      </c>
      <c r="B45" s="8" t="n">
        <f aca="false">B43*B44</f>
        <v>13.8923076923077</v>
      </c>
    </row>
    <row r="46" customFormat="false" ht="15" hidden="false" customHeight="false" outlineLevel="0" collapsed="false">
      <c r="A46" s="2" t="s">
        <v>153</v>
      </c>
      <c r="B46" s="7" t="n">
        <f aca="false">Assumptions!$C$21</f>
        <v>2.28</v>
      </c>
    </row>
    <row r="48" customFormat="false" ht="15" hidden="false" customHeight="false" outlineLevel="0" collapsed="false">
      <c r="A48" s="5" t="s">
        <v>20</v>
      </c>
      <c r="B48" s="5" t="s">
        <v>188</v>
      </c>
      <c r="C48" s="5" t="s">
        <v>189</v>
      </c>
      <c r="D48" s="5" t="s">
        <v>190</v>
      </c>
      <c r="E48" s="5" t="s">
        <v>191</v>
      </c>
      <c r="F48" s="5" t="s">
        <v>192</v>
      </c>
      <c r="G48" s="11"/>
      <c r="H48" s="11"/>
      <c r="I48" s="11"/>
    </row>
    <row r="49" customFormat="false" ht="15" hidden="false" customHeight="false" outlineLevel="0" collapsed="false">
      <c r="A49" s="2" t="s">
        <v>152</v>
      </c>
      <c r="B49" s="14" t="n">
        <v>44</v>
      </c>
      <c r="C49" s="14" t="n">
        <v>49</v>
      </c>
      <c r="D49" s="14" t="n">
        <v>51</v>
      </c>
      <c r="E49" s="14" t="n">
        <v>57</v>
      </c>
      <c r="F49" s="14" t="n">
        <v>62.5</v>
      </c>
    </row>
    <row r="50" customFormat="false" ht="15" hidden="false" customHeight="false" outlineLevel="0" collapsed="false">
      <c r="A50" s="2" t="s">
        <v>193</v>
      </c>
      <c r="B50" s="16" t="n">
        <v>0.18</v>
      </c>
      <c r="C50" s="9" t="n">
        <f aca="false">C49/B49-1</f>
        <v>0.113636363636364</v>
      </c>
      <c r="D50" s="9" t="n">
        <f aca="false">D49/C49-1</f>
        <v>0.0408163265306123</v>
      </c>
      <c r="E50" s="9" t="n">
        <f aca="false">E49/D49-1</f>
        <v>0.117647058823529</v>
      </c>
      <c r="F50" s="9" t="n">
        <f aca="false">F49/E49-1</f>
        <v>0.0964912280701755</v>
      </c>
    </row>
    <row r="51" customFormat="false" ht="15" hidden="false" customHeight="false" outlineLevel="0" collapsed="false">
      <c r="A51" s="2" t="s">
        <v>153</v>
      </c>
      <c r="B51" s="14" t="n">
        <v>6.5</v>
      </c>
      <c r="C51" s="14" t="n">
        <v>8</v>
      </c>
      <c r="D51" s="14" t="n">
        <v>8.9</v>
      </c>
      <c r="E51" s="14" t="n">
        <v>9.7</v>
      </c>
      <c r="F51" s="14" t="n">
        <v>11.4</v>
      </c>
    </row>
    <row r="52" customFormat="false" ht="15" hidden="false" customHeight="false" outlineLevel="0" collapsed="false">
      <c r="A52" s="2" t="s">
        <v>194</v>
      </c>
      <c r="B52" s="9" t="n">
        <f aca="false">B51/B49</f>
        <v>0.147727272727273</v>
      </c>
      <c r="C52" s="9" t="n">
        <f aca="false">C51/C49</f>
        <v>0.163265306122449</v>
      </c>
      <c r="D52" s="9" t="n">
        <f aca="false">D51/D49</f>
        <v>0.174509803921569</v>
      </c>
      <c r="E52" s="9" t="n">
        <f aca="false">E51/E49</f>
        <v>0.170175438596491</v>
      </c>
      <c r="F52" s="9" t="n">
        <f aca="false">F51/F49</f>
        <v>0.1824</v>
      </c>
    </row>
    <row r="53" customFormat="false" ht="15" hidden="false" customHeight="false" outlineLevel="0" collapsed="false">
      <c r="A53" s="4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36"/>
  </cols>
  <sheetData>
    <row r="1" customFormat="false" ht="16.1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5" t="s">
        <v>197</v>
      </c>
      <c r="B4" s="5" t="s">
        <v>198</v>
      </c>
      <c r="C4" s="5" t="s">
        <v>199</v>
      </c>
      <c r="D4" s="5" t="s">
        <v>200</v>
      </c>
      <c r="E4" s="5" t="s">
        <v>201</v>
      </c>
    </row>
    <row r="5" customFormat="false" ht="15" hidden="false" customHeight="false" outlineLevel="0" collapsed="false">
      <c r="A5" s="2" t="s">
        <v>202</v>
      </c>
      <c r="B5" s="12" t="n">
        <v>70</v>
      </c>
      <c r="C5" s="17" t="n">
        <f aca="false">Assumptions!$C$15</f>
        <v>0.25</v>
      </c>
      <c r="D5" s="17" t="n">
        <f aca="false">B5/Assumptions!$C$5-1</f>
        <v>-0.125</v>
      </c>
      <c r="E5" s="2" t="s">
        <v>203</v>
      </c>
    </row>
    <row r="6" customFormat="false" ht="15" hidden="false" customHeight="false" outlineLevel="0" collapsed="false">
      <c r="A6" s="2" t="s">
        <v>204</v>
      </c>
      <c r="B6" s="23" t="n">
        <f aca="false">Valuation!B35</f>
        <v>95</v>
      </c>
      <c r="C6" s="17" t="n">
        <f aca="false">Assumptions!$C$16</f>
        <v>0.5</v>
      </c>
      <c r="D6" s="17" t="n">
        <f aca="false">B6/Assumptions!$C$5-1</f>
        <v>0.1875</v>
      </c>
      <c r="E6" s="2" t="s">
        <v>205</v>
      </c>
    </row>
    <row r="7" customFormat="false" ht="15" hidden="false" customHeight="false" outlineLevel="0" collapsed="false">
      <c r="A7" s="2" t="s">
        <v>206</v>
      </c>
      <c r="B7" s="12" t="n">
        <v>120</v>
      </c>
      <c r="C7" s="17" t="n">
        <f aca="false">Assumptions!$C$17</f>
        <v>0.25</v>
      </c>
      <c r="D7" s="17" t="n">
        <f aca="false">B7/Assumptions!$C$5-1</f>
        <v>0.5</v>
      </c>
      <c r="E7" s="2" t="s">
        <v>207</v>
      </c>
    </row>
    <row r="8" customFormat="false" ht="15" hidden="false" customHeight="false" outlineLevel="0" collapsed="false">
      <c r="A8" s="3" t="s">
        <v>208</v>
      </c>
      <c r="B8" s="20" t="n">
        <f aca="false">SUMPRODUCT(B5:B7,C5:C7)</f>
        <v>95</v>
      </c>
      <c r="C8" s="9" t="n">
        <f aca="false">SUM(C5:C7)</f>
        <v>1</v>
      </c>
      <c r="D8" s="17" t="n">
        <f aca="false">B8/Assumptions!$C$5-1</f>
        <v>0.1875</v>
      </c>
    </row>
    <row r="10" customFormat="false" ht="15" hidden="false" customHeight="false" outlineLevel="0" collapsed="false">
      <c r="A10" s="10" t="s">
        <v>209</v>
      </c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5" t="s">
        <v>210</v>
      </c>
      <c r="B11" s="5" t="s">
        <v>211</v>
      </c>
      <c r="C11" s="5" t="s">
        <v>212</v>
      </c>
      <c r="D11" s="5" t="s">
        <v>213</v>
      </c>
      <c r="E11" s="5" t="s">
        <v>198</v>
      </c>
      <c r="F11" s="5" t="s">
        <v>214</v>
      </c>
      <c r="G11" s="5" t="s">
        <v>215</v>
      </c>
    </row>
    <row r="12" customFormat="false" ht="15" hidden="false" customHeight="false" outlineLevel="0" collapsed="false">
      <c r="A12" s="2" t="s">
        <v>216</v>
      </c>
      <c r="B12" s="24" t="n">
        <v>-0.005</v>
      </c>
      <c r="C12" s="7" t="n">
        <f aca="false">B12*B19*Assumptions!$C$26</f>
        <v>-0.743872093023256</v>
      </c>
      <c r="D12" s="17" t="n">
        <f aca="false">C12/Model!$E$51</f>
        <v>-0.0766878446415728</v>
      </c>
      <c r="E12" s="23" t="n">
        <f aca="false">C12*Assumptions!$C$10/Assumptions!$C$6*Assumptions!$C$11+Valuation!$B$33*D12*Assumptions!$C$12</f>
        <v>-7.3580558567447</v>
      </c>
      <c r="F12" s="17" t="n">
        <f aca="false">E12/Valuation!$B$35</f>
        <v>-0.0774532195446811</v>
      </c>
      <c r="G12" s="2" t="s">
        <v>217</v>
      </c>
    </row>
    <row r="13" customFormat="false" ht="15" hidden="false" customHeight="false" outlineLevel="0" collapsed="false">
      <c r="A13" s="2" t="s">
        <v>218</v>
      </c>
      <c r="B13" s="24" t="n">
        <v>-0.01</v>
      </c>
      <c r="C13" s="6" t="n">
        <v>-0.06</v>
      </c>
      <c r="D13" s="17" t="n">
        <f aca="false">C13/Model!$E$51</f>
        <v>-0.00618556701030928</v>
      </c>
      <c r="E13" s="23" t="n">
        <f aca="false">C13*Assumptions!$C$10/Assumptions!$C$6*Assumptions!$C$11+Valuation!$B$33*D13*Assumptions!$C$12</f>
        <v>-0.593493633576707</v>
      </c>
      <c r="F13" s="17" t="n">
        <f aca="false">E13/Valuation!$B$35</f>
        <v>-0.0062473014060706</v>
      </c>
      <c r="G13" s="2" t="s">
        <v>219</v>
      </c>
    </row>
    <row r="14" customFormat="false" ht="15" hidden="false" customHeight="false" outlineLevel="0" collapsed="false">
      <c r="A14" s="2" t="s">
        <v>220</v>
      </c>
      <c r="B14" s="24" t="n">
        <v>-0.005</v>
      </c>
      <c r="C14" s="6" t="n">
        <v>-0.5</v>
      </c>
      <c r="D14" s="17" t="n">
        <f aca="false">C14/Model!$E$51</f>
        <v>-0.0515463917525773</v>
      </c>
      <c r="E14" s="23" t="n">
        <f aca="false">C14*Assumptions!$C$10/Assumptions!$C$6*Assumptions!$C$11+Valuation!$B$33*D14*Assumptions!$C$12</f>
        <v>-4.94578027980589</v>
      </c>
      <c r="F14" s="17" t="n">
        <f aca="false">E14/Valuation!$B$35</f>
        <v>-0.0520608450505883</v>
      </c>
      <c r="G14" s="2" t="s">
        <v>219</v>
      </c>
    </row>
    <row r="15" customFormat="false" ht="15" hidden="false" customHeight="false" outlineLevel="0" collapsed="false">
      <c r="A15" s="2" t="s">
        <v>221</v>
      </c>
      <c r="C15" s="2" t="s">
        <v>222</v>
      </c>
      <c r="G15" s="2" t="s">
        <v>223</v>
      </c>
    </row>
    <row r="16" customFormat="false" ht="15" hidden="false" customHeight="false" outlineLevel="0" collapsed="false">
      <c r="A16" s="2" t="s">
        <v>224</v>
      </c>
      <c r="C16" s="2" t="s">
        <v>225</v>
      </c>
      <c r="G16" s="2" t="s">
        <v>226</v>
      </c>
    </row>
    <row r="18" customFormat="false" ht="15" hidden="false" customHeight="false" outlineLevel="0" collapsed="false">
      <c r="A18" s="3" t="s">
        <v>227</v>
      </c>
    </row>
    <row r="19" customFormat="false" ht="15" hidden="false" customHeight="false" outlineLevel="0" collapsed="false">
      <c r="A19" s="2" t="s">
        <v>228</v>
      </c>
      <c r="B19" s="22" t="n">
        <f aca="false">Model!E49/Assumptions!$C$19</f>
        <v>212.53488372093</v>
      </c>
    </row>
    <row r="20" customFormat="false" ht="15" hidden="false" customHeight="false" outlineLevel="0" collapsed="false">
      <c r="A20" s="4" t="s">
        <v>229</v>
      </c>
    </row>
    <row r="21" customFormat="false" ht="15" hidden="false" customHeight="false" outlineLevel="0" collapsed="false">
      <c r="A21" s="4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10" t="s">
        <v>232</v>
      </c>
      <c r="B4" s="11"/>
      <c r="C4" s="11"/>
    </row>
    <row r="5" customFormat="false" ht="15" hidden="false" customHeight="false" outlineLevel="0" collapsed="false">
      <c r="A5" s="2" t="s">
        <v>233</v>
      </c>
      <c r="B5" s="23" t="n">
        <f aca="false">Assumptions!$C$5</f>
        <v>80</v>
      </c>
    </row>
    <row r="6" customFormat="false" ht="15" hidden="false" customHeight="false" outlineLevel="0" collapsed="false">
      <c r="A6" s="2" t="s">
        <v>234</v>
      </c>
      <c r="B6" s="25" t="n">
        <f aca="false">Assumptions!$C$6</f>
        <v>2.0625</v>
      </c>
    </row>
    <row r="7" customFormat="false" ht="15" hidden="false" customHeight="false" outlineLevel="0" collapsed="false">
      <c r="A7" s="2" t="s">
        <v>235</v>
      </c>
      <c r="B7" s="21" t="n">
        <f aca="false">B5*B6</f>
        <v>165</v>
      </c>
    </row>
    <row r="8" customFormat="false" ht="15" hidden="false" customHeight="false" outlineLevel="0" collapsed="false">
      <c r="A8" s="2" t="s">
        <v>236</v>
      </c>
      <c r="B8" s="22" t="n">
        <f aca="false">Assumptions!$C$9</f>
        <v>3</v>
      </c>
    </row>
    <row r="9" customFormat="false" ht="15" hidden="false" customHeight="false" outlineLevel="0" collapsed="false">
      <c r="A9" s="2" t="s">
        <v>237</v>
      </c>
      <c r="B9" s="21" t="n">
        <f aca="false">B7+B8</f>
        <v>168</v>
      </c>
    </row>
    <row r="10" customFormat="false" ht="15" hidden="false" customHeight="false" outlineLevel="0" collapsed="false">
      <c r="A10" s="2" t="s">
        <v>212</v>
      </c>
      <c r="B10" s="7" t="n">
        <f aca="false">Model!E51</f>
        <v>9.7</v>
      </c>
    </row>
    <row r="11" customFormat="false" ht="15" hidden="false" customHeight="false" outlineLevel="0" collapsed="false">
      <c r="A11" s="2" t="s">
        <v>238</v>
      </c>
      <c r="B11" s="26" t="n">
        <f aca="false">B9/B10</f>
        <v>17.319587628866</v>
      </c>
    </row>
    <row r="13" customFormat="false" ht="15" hidden="false" customHeight="false" outlineLevel="0" collapsed="false">
      <c r="A13" s="10" t="s">
        <v>239</v>
      </c>
      <c r="B13" s="11"/>
      <c r="C13" s="11"/>
    </row>
    <row r="14" customFormat="false" ht="15" hidden="false" customHeight="false" outlineLevel="0" collapsed="false">
      <c r="A14" s="2" t="s">
        <v>240</v>
      </c>
      <c r="B14" s="15" t="n">
        <v>13</v>
      </c>
    </row>
    <row r="15" customFormat="false" ht="15" hidden="false" customHeight="false" outlineLevel="0" collapsed="false">
      <c r="A15" s="2" t="s">
        <v>241</v>
      </c>
      <c r="B15" s="15" t="n">
        <v>19</v>
      </c>
    </row>
    <row r="16" customFormat="false" ht="15" hidden="false" customHeight="false" outlineLevel="0" collapsed="false">
      <c r="A16" s="2" t="s">
        <v>242</v>
      </c>
      <c r="B16" s="15" t="n">
        <v>20</v>
      </c>
    </row>
    <row r="17" customFormat="false" ht="15" hidden="false" customHeight="false" outlineLevel="0" collapsed="false">
      <c r="A17" s="2" t="s">
        <v>243</v>
      </c>
      <c r="B17" s="26" t="n">
        <f aca="false">MEDIAN(B14:B16)</f>
        <v>19</v>
      </c>
    </row>
    <row r="18" customFormat="false" ht="15" hidden="false" customHeight="false" outlineLevel="0" collapsed="false">
      <c r="A18" s="2" t="s">
        <v>39</v>
      </c>
      <c r="B18" s="26" t="n">
        <f aca="false">MIN(B14:B16)</f>
        <v>13</v>
      </c>
    </row>
    <row r="19" customFormat="false" ht="15" hidden="false" customHeight="false" outlineLevel="0" collapsed="false">
      <c r="A19" s="2" t="s">
        <v>74</v>
      </c>
      <c r="B19" s="26" t="n">
        <f aca="false">MAX(B14:B16)</f>
        <v>20</v>
      </c>
    </row>
    <row r="20" customFormat="false" ht="15" hidden="false" customHeight="false" outlineLevel="0" collapsed="false">
      <c r="A20" s="2" t="s">
        <v>244</v>
      </c>
      <c r="B20" s="27" t="n">
        <f aca="false">COUNT(B14:B16)</f>
        <v>3</v>
      </c>
    </row>
    <row r="22" customFormat="false" ht="15" hidden="false" customHeight="false" outlineLevel="0" collapsed="false">
      <c r="A22" s="10" t="s">
        <v>245</v>
      </c>
      <c r="B22" s="11"/>
      <c r="C22" s="11"/>
    </row>
    <row r="23" customFormat="false" ht="15" hidden="false" customHeight="false" outlineLevel="0" collapsed="false">
      <c r="A23" s="2" t="s">
        <v>246</v>
      </c>
      <c r="B23" s="28" t="n">
        <f aca="false">Assumptions!$C$10</f>
        <v>19</v>
      </c>
    </row>
    <row r="24" customFormat="false" ht="15" hidden="false" customHeight="false" outlineLevel="0" collapsed="false">
      <c r="A24" s="2" t="s">
        <v>247</v>
      </c>
      <c r="B24" s="21" t="n">
        <f aca="false">B23*B10</f>
        <v>184.3</v>
      </c>
    </row>
    <row r="25" customFormat="false" ht="15" hidden="false" customHeight="false" outlineLevel="0" collapsed="false">
      <c r="A25" s="2" t="s">
        <v>248</v>
      </c>
      <c r="B25" s="21" t="n">
        <f aca="false">B8</f>
        <v>3</v>
      </c>
    </row>
    <row r="26" customFormat="false" ht="15" hidden="false" customHeight="false" outlineLevel="0" collapsed="false">
      <c r="A26" s="2" t="s">
        <v>249</v>
      </c>
      <c r="B26" s="21" t="n">
        <f aca="false">B24-B25</f>
        <v>181.3</v>
      </c>
    </row>
    <row r="27" customFormat="false" ht="15" hidden="false" customHeight="false" outlineLevel="0" collapsed="false">
      <c r="A27" s="2" t="s">
        <v>250</v>
      </c>
      <c r="B27" s="20" t="n">
        <f aca="false">B26/B6</f>
        <v>87.9030303030303</v>
      </c>
    </row>
    <row r="28" customFormat="false" ht="15" hidden="false" customHeight="false" outlineLevel="0" collapsed="false">
      <c r="A28" s="2" t="s">
        <v>251</v>
      </c>
      <c r="B28" s="2" t="str">
        <f aca="false">IF(AND(B23&gt;=B18,B23&lt;=B19),"inside range","FLAG: outside range")</f>
        <v>inside range</v>
      </c>
    </row>
    <row r="29" customFormat="false" ht="15" hidden="false" customHeight="false" outlineLevel="0" collapsed="false">
      <c r="A29" s="2" t="s">
        <v>252</v>
      </c>
      <c r="B29" s="9" t="n">
        <f aca="false">B23/B17-1</f>
        <v>0</v>
      </c>
    </row>
    <row r="31" customFormat="false" ht="15" hidden="false" customHeight="false" outlineLevel="0" collapsed="false">
      <c r="A31" s="5" t="s">
        <v>253</v>
      </c>
      <c r="B31" s="5" t="s">
        <v>250</v>
      </c>
      <c r="C31" s="5" t="s">
        <v>199</v>
      </c>
    </row>
    <row r="32" customFormat="false" ht="15" hidden="false" customHeight="false" outlineLevel="0" collapsed="false">
      <c r="A32" s="2" t="s">
        <v>245</v>
      </c>
      <c r="B32" s="20" t="n">
        <f aca="false">B27</f>
        <v>87.9030303030303</v>
      </c>
      <c r="C32" s="17" t="n">
        <f aca="false">Assumptions!$C$11</f>
        <v>0.6</v>
      </c>
    </row>
    <row r="33" customFormat="false" ht="15" hidden="false" customHeight="false" outlineLevel="0" collapsed="false">
      <c r="A33" s="2" t="s">
        <v>134</v>
      </c>
      <c r="B33" s="23" t="n">
        <f aca="false">DCF!B28</f>
        <v>105.833979934222</v>
      </c>
      <c r="C33" s="17" t="n">
        <f aca="false">Assumptions!$C$12</f>
        <v>0.4</v>
      </c>
    </row>
    <row r="34" customFormat="false" ht="15" hidden="false" customHeight="false" outlineLevel="0" collapsed="false">
      <c r="A34" s="2" t="s">
        <v>254</v>
      </c>
      <c r="B34" s="20" t="n">
        <f aca="false">B32*C32+B33*C33</f>
        <v>95.075410155507</v>
      </c>
    </row>
    <row r="35" customFormat="false" ht="15" hidden="false" customHeight="false" outlineLevel="0" collapsed="false">
      <c r="A35" s="3" t="s">
        <v>255</v>
      </c>
      <c r="B35" s="20" t="n">
        <f aca="false">ROUND(B34,0)</f>
        <v>95</v>
      </c>
    </row>
    <row r="36" customFormat="false" ht="15" hidden="false" customHeight="false" outlineLevel="0" collapsed="false">
      <c r="A36" s="2" t="s">
        <v>256</v>
      </c>
      <c r="B36" s="9" t="n">
        <f aca="false">B35/B5-1</f>
        <v>0.1875</v>
      </c>
    </row>
    <row r="37" customFormat="false" ht="15" hidden="false" customHeight="false" outlineLevel="0" collapsed="false">
      <c r="A37" s="3" t="s">
        <v>257</v>
      </c>
      <c r="B37" s="29" t="str">
        <f aca="false">IF(B36&gt;=Assumptions!$C$13,"Buy",IF(B36&lt;=Assumptions!$C$14,"Sell","Hold"))</f>
        <v>Buy</v>
      </c>
    </row>
    <row r="38" customFormat="false" ht="15" hidden="false" customHeight="false" outlineLevel="0" collapsed="false">
      <c r="A38" s="2" t="s">
        <v>258</v>
      </c>
      <c r="B38" s="17" t="n">
        <f aca="false">DCF!B25</f>
        <v>0.608524429532141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1"/>
  </cols>
  <sheetData>
    <row r="1" customFormat="false" ht="16.1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2" t="s">
        <v>260</v>
      </c>
      <c r="B4" s="16" t="n">
        <v>0.042</v>
      </c>
    </row>
    <row r="5" customFormat="false" ht="15" hidden="false" customHeight="false" outlineLevel="0" collapsed="false">
      <c r="A5" s="2" t="s">
        <v>261</v>
      </c>
      <c r="B5" s="18" t="n">
        <v>1.3</v>
      </c>
    </row>
    <row r="6" customFormat="false" ht="15" hidden="false" customHeight="false" outlineLevel="0" collapsed="false">
      <c r="A6" s="2" t="s">
        <v>262</v>
      </c>
      <c r="B6" s="16" t="n">
        <v>0.045</v>
      </c>
    </row>
    <row r="7" customFormat="false" ht="15" hidden="false" customHeight="false" outlineLevel="0" collapsed="false">
      <c r="A7" s="2" t="s">
        <v>263</v>
      </c>
      <c r="B7" s="30" t="n">
        <f aca="false">B4+B5*B6</f>
        <v>0.1005</v>
      </c>
    </row>
    <row r="8" customFormat="false" ht="15" hidden="false" customHeight="false" outlineLevel="0" collapsed="false">
      <c r="A8" s="2" t="s">
        <v>264</v>
      </c>
      <c r="B8" s="30" t="n">
        <f aca="false">B7</f>
        <v>0.1005</v>
      </c>
    </row>
    <row r="9" customFormat="false" ht="15" hidden="false" customHeight="false" outlineLevel="0" collapsed="false">
      <c r="A9" s="2" t="s">
        <v>133</v>
      </c>
      <c r="B9" s="17" t="n">
        <f aca="false">Assumptions!$C$25</f>
        <v>0.03</v>
      </c>
    </row>
    <row r="10" customFormat="false" ht="15" hidden="false" customHeight="false" outlineLevel="0" collapsed="false">
      <c r="A10" s="2" t="s">
        <v>265</v>
      </c>
      <c r="B10" s="16" t="n">
        <v>0.2</v>
      </c>
    </row>
    <row r="11" customFormat="false" ht="15" hidden="false" customHeight="false" outlineLevel="0" collapsed="false">
      <c r="A11" s="2" t="s">
        <v>266</v>
      </c>
      <c r="B11" s="31" t="n">
        <f aca="false">Assumptions!$C$24</f>
        <v>0.9</v>
      </c>
    </row>
    <row r="12" customFormat="false" ht="15" hidden="false" customHeight="false" outlineLevel="0" collapsed="false">
      <c r="A12" s="2" t="s">
        <v>267</v>
      </c>
      <c r="B12" s="6" t="n">
        <v>7.65</v>
      </c>
    </row>
    <row r="14" customFormat="false" ht="15" hidden="false" customHeight="false" outlineLevel="0" collapsed="false">
      <c r="A14" s="5" t="s">
        <v>268</v>
      </c>
      <c r="B14" s="5" t="n">
        <v>1</v>
      </c>
      <c r="C14" s="5" t="n">
        <v>2</v>
      </c>
      <c r="D14" s="5" t="n">
        <v>3</v>
      </c>
      <c r="E14" s="5" t="n">
        <v>4</v>
      </c>
      <c r="F14" s="5" t="n">
        <v>5</v>
      </c>
      <c r="G14" s="5" t="n">
        <v>6</v>
      </c>
      <c r="H14" s="5" t="n">
        <v>7</v>
      </c>
      <c r="I14" s="5" t="n">
        <v>8</v>
      </c>
      <c r="J14" s="5" t="n">
        <v>9</v>
      </c>
      <c r="K14" s="5" t="n">
        <v>10</v>
      </c>
    </row>
    <row r="15" customFormat="false" ht="15" hidden="false" customHeight="false" outlineLevel="0" collapsed="false">
      <c r="A15" s="2" t="s">
        <v>269</v>
      </c>
      <c r="B15" s="2" t="s">
        <v>270</v>
      </c>
      <c r="C15" s="2" t="s">
        <v>270</v>
      </c>
      <c r="D15" s="2" t="s">
        <v>270</v>
      </c>
      <c r="E15" s="2" t="s">
        <v>271</v>
      </c>
      <c r="F15" s="2" t="s">
        <v>271</v>
      </c>
      <c r="G15" s="2" t="s">
        <v>271</v>
      </c>
      <c r="H15" s="2" t="s">
        <v>271</v>
      </c>
      <c r="I15" s="2" t="s">
        <v>271</v>
      </c>
      <c r="J15" s="2" t="s">
        <v>271</v>
      </c>
      <c r="K15" s="2" t="s">
        <v>271</v>
      </c>
    </row>
    <row r="16" customFormat="false" ht="15" hidden="false" customHeight="false" outlineLevel="0" collapsed="false">
      <c r="A16" s="2" t="s">
        <v>272</v>
      </c>
      <c r="C16" s="9" t="n">
        <f aca="false">$B$10</f>
        <v>0.2</v>
      </c>
      <c r="D16" s="9" t="n">
        <f aca="false">C16*$B$11</f>
        <v>0.18</v>
      </c>
      <c r="E16" s="9" t="n">
        <f aca="false">D16*$B$11</f>
        <v>0.162</v>
      </c>
      <c r="F16" s="9" t="n">
        <f aca="false">E16*$B$11</f>
        <v>0.1458</v>
      </c>
      <c r="G16" s="9" t="n">
        <f aca="false">F16*$B$11</f>
        <v>0.13122</v>
      </c>
      <c r="H16" s="9" t="n">
        <f aca="false">G16*$B$11</f>
        <v>0.118098</v>
      </c>
      <c r="I16" s="9" t="n">
        <f aca="false">H16*$B$11</f>
        <v>0.1062882</v>
      </c>
      <c r="J16" s="9" t="n">
        <f aca="false">I16*$B$11</f>
        <v>0.09565938</v>
      </c>
      <c r="K16" s="9" t="n">
        <f aca="false">J16*$B$11</f>
        <v>0.0860934420000001</v>
      </c>
    </row>
    <row r="17" customFormat="false" ht="15" hidden="false" customHeight="false" outlineLevel="0" collapsed="false">
      <c r="A17" s="2" t="s">
        <v>273</v>
      </c>
      <c r="B17" s="8" t="n">
        <f aca="false">$B$12</f>
        <v>7.65</v>
      </c>
      <c r="C17" s="8" t="n">
        <f aca="false">B17*(1+C16)</f>
        <v>9.18</v>
      </c>
      <c r="D17" s="8" t="n">
        <f aca="false">C17*(1+D16)</f>
        <v>10.8324</v>
      </c>
      <c r="E17" s="8" t="n">
        <f aca="false">D17*(1+E16)</f>
        <v>12.5872488</v>
      </c>
      <c r="F17" s="8" t="n">
        <f aca="false">E17*(1+F16)</f>
        <v>14.42246967504</v>
      </c>
      <c r="G17" s="8" t="n">
        <f aca="false">F17*(1+G16)</f>
        <v>16.3149861457988</v>
      </c>
      <c r="H17" s="8" t="n">
        <f aca="false">G17*(1+H16)</f>
        <v>18.2417533796453</v>
      </c>
      <c r="I17" s="8" t="n">
        <f aca="false">H17*(1+I16)</f>
        <v>20.1806365112117</v>
      </c>
      <c r="J17" s="8" t="n">
        <f aca="false">I17*(1+J16)</f>
        <v>22.1111036878796</v>
      </c>
      <c r="K17" s="8" t="n">
        <f aca="false">J17*(1+K16)</f>
        <v>24.014724710788</v>
      </c>
    </row>
    <row r="18" customFormat="false" ht="15" hidden="false" customHeight="false" outlineLevel="0" collapsed="false">
      <c r="A18" s="2" t="s">
        <v>274</v>
      </c>
      <c r="B18" s="32" t="n">
        <f aca="false">1/(1+$B$8)^B14</f>
        <v>0.908677873693776</v>
      </c>
      <c r="C18" s="32" t="n">
        <f aca="false">1/(1+$B$8)^C14</f>
        <v>0.825695478140641</v>
      </c>
      <c r="D18" s="32" t="n">
        <f aca="false">1/(1+$B$8)^D14</f>
        <v>0.750291211395403</v>
      </c>
      <c r="E18" s="32" t="n">
        <f aca="false">1/(1+$B$8)^E14</f>
        <v>0.681773022621902</v>
      </c>
      <c r="F18" s="32" t="n">
        <f aca="false">1/(1+$B$8)^F14</f>
        <v>0.619512060537848</v>
      </c>
      <c r="G18" s="32" t="n">
        <f aca="false">1/(1+$B$8)^G14</f>
        <v>0.562936901897181</v>
      </c>
      <c r="H18" s="32" t="n">
        <f aca="false">1/(1+$B$8)^H14</f>
        <v>0.511528307039692</v>
      </c>
      <c r="I18" s="32" t="n">
        <f aca="false">1/(1+$B$8)^I14</f>
        <v>0.464814454375004</v>
      </c>
      <c r="J18" s="32" t="n">
        <f aca="false">1/(1+$B$8)^J14</f>
        <v>0.422366610063611</v>
      </c>
      <c r="K18" s="32" t="n">
        <f aca="false">1/(1+$B$8)^K14</f>
        <v>0.38379519315185</v>
      </c>
    </row>
    <row r="19" customFormat="false" ht="15" hidden="false" customHeight="false" outlineLevel="0" collapsed="false">
      <c r="A19" s="2" t="s">
        <v>275</v>
      </c>
      <c r="B19" s="8" t="n">
        <f aca="false">B17*B18</f>
        <v>6.95138573375738</v>
      </c>
      <c r="C19" s="8" t="n">
        <f aca="false">C17*C18</f>
        <v>7.57988448933109</v>
      </c>
      <c r="D19" s="8" t="n">
        <f aca="false">D17*D18</f>
        <v>8.12745451831956</v>
      </c>
      <c r="E19" s="8" t="n">
        <f aca="false">E17*E18</f>
        <v>8.58164666086991</v>
      </c>
      <c r="F19" s="8" t="n">
        <f aca="false">F17*F18</f>
        <v>8.93489390642866</v>
      </c>
      <c r="G19" s="8" t="n">
        <f aca="false">G17*G18</f>
        <v>9.18430775541138</v>
      </c>
      <c r="H19" s="8" t="n">
        <f aca="false">H17*H18</f>
        <v>9.33117322372554</v>
      </c>
      <c r="I19" s="8" t="n">
        <f aca="false">I17*I18</f>
        <v>9.38025154889916</v>
      </c>
      <c r="J19" s="8" t="n">
        <f aca="false">J17*J18</f>
        <v>9.33899190941471</v>
      </c>
      <c r="K19" s="8" t="n">
        <f aca="false">K17*K18</f>
        <v>9.21673590886541</v>
      </c>
    </row>
    <row r="21" customFormat="false" ht="15" hidden="false" customHeight="false" outlineLevel="0" collapsed="false">
      <c r="A21" s="2" t="s">
        <v>276</v>
      </c>
      <c r="B21" s="8" t="n">
        <f aca="false">SUM(B19:K19)</f>
        <v>86.6267256550228</v>
      </c>
    </row>
    <row r="22" customFormat="false" ht="15" hidden="false" customHeight="false" outlineLevel="0" collapsed="false">
      <c r="A22" s="2" t="s">
        <v>277</v>
      </c>
      <c r="B22" s="8" t="n">
        <f aca="false">K17*(1+B9)/(B8-B9)</f>
        <v>350.853424852648</v>
      </c>
    </row>
    <row r="23" customFormat="false" ht="15" hidden="false" customHeight="false" outlineLevel="0" collapsed="false">
      <c r="A23" s="2" t="s">
        <v>278</v>
      </c>
      <c r="B23" s="8" t="n">
        <f aca="false">B22*K18</f>
        <v>134.65585795931</v>
      </c>
    </row>
    <row r="24" customFormat="false" ht="15" hidden="false" customHeight="false" outlineLevel="0" collapsed="false">
      <c r="A24" s="2" t="s">
        <v>279</v>
      </c>
      <c r="B24" s="8" t="n">
        <f aca="false">B21+B23</f>
        <v>221.282583614333</v>
      </c>
    </row>
    <row r="25" customFormat="false" ht="15" hidden="false" customHeight="false" outlineLevel="0" collapsed="false">
      <c r="A25" s="2" t="s">
        <v>280</v>
      </c>
      <c r="B25" s="9" t="n">
        <f aca="false">B23/B24</f>
        <v>0.608524429532141</v>
      </c>
    </row>
    <row r="26" customFormat="false" ht="15" hidden="false" customHeight="false" outlineLevel="0" collapsed="false">
      <c r="A26" s="2" t="s">
        <v>281</v>
      </c>
      <c r="B26" s="7" t="n">
        <f aca="false">Assumptions!$C$9</f>
        <v>3</v>
      </c>
    </row>
    <row r="27" customFormat="false" ht="15" hidden="false" customHeight="false" outlineLevel="0" collapsed="false">
      <c r="A27" s="2" t="s">
        <v>282</v>
      </c>
      <c r="B27" s="8" t="n">
        <f aca="false">B24-B26</f>
        <v>218.282583614333</v>
      </c>
    </row>
    <row r="28" customFormat="false" ht="15" hidden="false" customHeight="false" outlineLevel="0" collapsed="false">
      <c r="A28" s="3" t="s">
        <v>283</v>
      </c>
      <c r="B28" s="23" t="n">
        <f aca="false">B27/Assumptions!$C$6</f>
        <v>105.833979934222</v>
      </c>
    </row>
    <row r="30" customFormat="false" ht="15" hidden="false" customHeight="false" outlineLevel="0" collapsed="false">
      <c r="A30" s="10" t="s">
        <v>284</v>
      </c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2" t="s">
        <v>285</v>
      </c>
      <c r="B31" s="33" t="n">
        <f aca="false">$B$9-0.01</f>
        <v>0.02</v>
      </c>
      <c r="C31" s="33" t="n">
        <f aca="false">$B$9-0.005</f>
        <v>0.025</v>
      </c>
      <c r="D31" s="33" t="n">
        <f aca="false">$B$9</f>
        <v>0.03</v>
      </c>
      <c r="E31" s="33" t="n">
        <f aca="false">$B$9+0.005</f>
        <v>0.035</v>
      </c>
      <c r="F31" s="33" t="n">
        <f aca="false">$B$9+0.01</f>
        <v>0.04</v>
      </c>
    </row>
    <row r="32" customFormat="false" ht="15" hidden="false" customHeight="false" outlineLevel="0" collapsed="false">
      <c r="A32" s="30" t="n">
        <f aca="false">$B$8-0.01</f>
        <v>0.0905</v>
      </c>
      <c r="B32" s="23" t="n">
        <f aca="false">(SUMPRODUCT($B$17:$K$17/(1+$A32)^$B$14:$K$14)+$K$17*(1+B$31)/($A32-B$31)/(1+$A32)^10-$B$26)/Assumptions!$C$6</f>
        <v>113.65332723039</v>
      </c>
      <c r="C32" s="23" t="n">
        <f aca="false">(SUMPRODUCT($B$17:$K$17/(1+$A32)^$B$14:$K$14)+$K$17*(1+C$31)/($A32-C$31)/(1+$A32)^10-$B$26)/Assumptions!$C$6</f>
        <v>119.434184057174</v>
      </c>
      <c r="D32" s="23" t="n">
        <f aca="false">(SUMPRODUCT($B$17:$K$17/(1+$A32)^$B$14:$K$14)+$K$17*(1+D$31)/($A32-D$31)/(1+$A32)^10-$B$26)/Assumptions!$C$6</f>
        <v>126.170554409047</v>
      </c>
      <c r="E32" s="23" t="n">
        <f aca="false">(SUMPRODUCT($B$17:$K$17/(1+$A32)^$B$14:$K$14)+$K$17*(1+E$31)/($A32-E$31)/(1+$A32)^10-$B$26)/Assumptions!$C$6</f>
        <v>134.120685184681</v>
      </c>
      <c r="F32" s="23" t="n">
        <f aca="false">(SUMPRODUCT($B$17:$K$17/(1+$A32)^$B$14:$K$14)+$K$17*(1+F$31)/($A32-F$31)/(1+$A32)^10-$B$26)/Assumptions!$C$6</f>
        <v>143.645099282223</v>
      </c>
    </row>
    <row r="33" customFormat="false" ht="15" hidden="false" customHeight="false" outlineLevel="0" collapsed="false">
      <c r="A33" s="30" t="n">
        <f aca="false">$B$8-0.005</f>
        <v>0.0955</v>
      </c>
      <c r="B33" s="23" t="n">
        <f aca="false">(SUMPRODUCT($B$17:$K$17/(1+$A33)^$B$14:$K$14)+$K$17*(1+B$31)/($A33-B$31)/(1+$A33)^10-$B$26)/Assumptions!$C$6</f>
        <v>104.846862564955</v>
      </c>
      <c r="C33" s="23" t="n">
        <f aca="false">(SUMPRODUCT($B$17:$K$17/(1+$A33)^$B$14:$K$14)+$K$17*(1+C$31)/($A33-C$31)/(1+$A33)^10-$B$26)/Assumptions!$C$6</f>
        <v>109.659754981874</v>
      </c>
      <c r="D33" s="23" t="n">
        <f aca="false">(SUMPRODUCT($B$17:$K$17/(1+$A33)^$B$14:$K$14)+$K$17*(1+D$31)/($A33-D$31)/(1+$A33)^10-$B$26)/Assumptions!$C$6</f>
        <v>115.207440134201</v>
      </c>
      <c r="E33" s="23" t="n">
        <f aca="false">(SUMPRODUCT($B$17:$K$17/(1+$A33)^$B$14:$K$14)+$K$17*(1+E$31)/($A33-E$31)/(1+$A33)^10-$B$26)/Assumptions!$C$6</f>
        <v>121.672098038979</v>
      </c>
      <c r="F33" s="23" t="n">
        <f aca="false">(SUMPRODUCT($B$17:$K$17/(1+$A33)^$B$14:$K$14)+$K$17*(1+F$31)/($A33-F$31)/(1+$A33)^10-$B$26)/Assumptions!$C$6</f>
        <v>129.301559169843</v>
      </c>
    </row>
    <row r="34" customFormat="false" ht="15" hidden="false" customHeight="false" outlineLevel="0" collapsed="false">
      <c r="A34" s="30" t="n">
        <f aca="false">$B$8</f>
        <v>0.1005</v>
      </c>
      <c r="B34" s="23" t="n">
        <f aca="false">(SUMPRODUCT($B$17:$K$17/(1+$A34)^$B$14:$K$14)+$K$17*(1+B$31)/($A34-B$31)/(1+$A34)^10-$B$26)/Assumptions!$C$6</f>
        <v>97.1685874934511</v>
      </c>
      <c r="C34" s="23" t="n">
        <f aca="false">(SUMPRODUCT($B$17:$K$17/(1+$A34)^$B$14:$K$14)+$K$17*(1+C$31)/($A34-C$31)/(1+$A34)^10-$B$26)/Assumptions!$C$6</f>
        <v>101.214350189308</v>
      </c>
      <c r="D34" s="23" t="n">
        <f aca="false">(SUMPRODUCT($B$17:$K$17/(1+$A34)^$B$14:$K$14)+$K$17*(1+D$31)/($A34-D$31)/(1+$A34)^10-$B$26)/Assumptions!$C$6</f>
        <v>105.833979934222</v>
      </c>
      <c r="E34" s="23" t="n">
        <f aca="false">(SUMPRODUCT($B$17:$K$17/(1+$A34)^$B$14:$K$14)+$K$17*(1+E$31)/($A34-E$31)/(1+$A34)^10-$B$26)/Assumptions!$C$6</f>
        <v>111.158896663093</v>
      </c>
      <c r="F34" s="23" t="n">
        <f aca="false">(SUMPRODUCT($B$17:$K$17/(1+$A34)^$B$14:$K$14)+$K$17*(1+F$31)/($A34-F$31)/(1+$A34)^10-$B$26)/Assumptions!$C$6</f>
        <v>117.363964917397</v>
      </c>
    </row>
    <row r="35" customFormat="false" ht="15" hidden="false" customHeight="false" outlineLevel="0" collapsed="false">
      <c r="A35" s="30" t="n">
        <f aca="false">$B$8+0.005</f>
        <v>0.1055</v>
      </c>
      <c r="B35" s="23" t="n">
        <f aca="false">(SUMPRODUCT($B$17:$K$17/(1+$A35)^$B$14:$K$14)+$K$17*(1+B$31)/($A35-B$31)/(1+$A35)^10-$B$26)/Assumptions!$C$6</f>
        <v>90.4193358510409</v>
      </c>
      <c r="C35" s="23" t="n">
        <f aca="false">(SUMPRODUCT($B$17:$K$17/(1+$A35)^$B$14:$K$14)+$K$17*(1+C$31)/($A35-C$31)/(1+$A35)^10-$B$26)/Assumptions!$C$6</f>
        <v>93.8490896223675</v>
      </c>
      <c r="D35" s="23" t="n">
        <f aca="false">(SUMPRODUCT($B$17:$K$17/(1+$A35)^$B$14:$K$14)+$K$17*(1+D$31)/($A35-D$31)/(1+$A35)^10-$B$26)/Assumptions!$C$6</f>
        <v>97.7331154163863</v>
      </c>
      <c r="E35" s="23" t="n">
        <f aca="false">(SUMPRODUCT($B$17:$K$17/(1+$A35)^$B$14:$K$14)+$K$17*(1+E$31)/($A35-E$31)/(1+$A35)^10-$B$26)/Assumptions!$C$6</f>
        <v>102.168066854947</v>
      </c>
      <c r="F35" s="23" t="n">
        <f aca="false">(SUMPRODUCT($B$17:$K$17/(1+$A35)^$B$14:$K$14)+$K$17*(1+F$31)/($A35-F$31)/(1+$A35)^10-$B$26)/Assumptions!$C$6</f>
        <v>107.280110116188</v>
      </c>
    </row>
    <row r="36" customFormat="false" ht="15" hidden="false" customHeight="false" outlineLevel="0" collapsed="false">
      <c r="A36" s="30" t="n">
        <f aca="false">$B$8+0.01</f>
        <v>0.1105</v>
      </c>
      <c r="B36" s="23" t="n">
        <f aca="false">(SUMPRODUCT($B$17:$K$17/(1+$A36)^$B$14:$K$14)+$K$17*(1+B$31)/($A36-B$31)/(1+$A36)^10-$B$26)/Assumptions!$C$6</f>
        <v>84.4440084064459</v>
      </c>
      <c r="C36" s="23" t="n">
        <f aca="false">(SUMPRODUCT($B$17:$K$17/(1+$A36)^$B$14:$K$14)+$K$17*(1+C$31)/($A36-C$31)/(1+$A36)^10-$B$26)/Assumptions!$C$6</f>
        <v>87.3733626914637</v>
      </c>
      <c r="D36" s="23" t="n">
        <f aca="false">(SUMPRODUCT($B$17:$K$17/(1+$A36)^$B$14:$K$14)+$K$17*(1+D$31)/($A36-D$31)/(1+$A36)^10-$B$26)/Assumptions!$C$6</f>
        <v>90.6666119187196</v>
      </c>
      <c r="E36" s="23" t="n">
        <f aca="false">(SUMPRODUCT($B$17:$K$17/(1+$A36)^$B$14:$K$14)+$K$17*(1+E$31)/($A36-E$31)/(1+$A36)^10-$B$26)/Assumptions!$C$6</f>
        <v>94.3960530966056</v>
      </c>
      <c r="F36" s="23" t="n">
        <f aca="false">(SUMPRODUCT($B$17:$K$17/(1+$A36)^$B$14:$K$14)+$K$17*(1+F$31)/($A36-F$31)/(1+$A36)^10-$B$26)/Assumptions!$C$6</f>
        <v>98.6544930231278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" t="s">
        <v>286</v>
      </c>
    </row>
    <row r="2" customFormat="false" ht="15" hidden="false" customHeight="false" outlineLevel="0" collapsed="false">
      <c r="A2" s="4" t="s">
        <v>287</v>
      </c>
    </row>
    <row r="3" customFormat="false" ht="15" hidden="false" customHeight="false" outlineLevel="0" collapsed="false">
      <c r="A3" s="3" t="s">
        <v>288</v>
      </c>
      <c r="B3" s="3" t="str">
        <f aca="false">IF(COUNTIF(C6:C21,"FAIL")&gt;0,"BLOCKED: "&amp;COUNTIF(C6:C21,"FAIL")&amp;" check(s) failed","No failures; "&amp;COUNTIF(C6:C21,"FLAG")&amp;" flag(s) for the reviewer")</f>
        <v>No failures; 1 flag(s) for the reviewer</v>
      </c>
    </row>
    <row r="5" customFormat="false" ht="15" hidden="false" customHeight="false" outlineLevel="0" collapsed="false">
      <c r="A5" s="5" t="s">
        <v>289</v>
      </c>
      <c r="B5" s="5" t="s">
        <v>126</v>
      </c>
      <c r="C5" s="5" t="s">
        <v>290</v>
      </c>
      <c r="D5" s="5" t="s">
        <v>291</v>
      </c>
    </row>
    <row r="6" customFormat="false" ht="15" hidden="false" customHeight="false" outlineLevel="0" collapsed="false">
      <c r="A6" s="34" t="n">
        <v>1</v>
      </c>
      <c r="B6" s="2" t="s">
        <v>292</v>
      </c>
      <c r="C6" s="35" t="str">
        <f aca="false">IF(ABS(Model!B16-Model!B6)&lt;0.05,"PASS","FAIL")</f>
        <v>PASS</v>
      </c>
      <c r="D6" s="7" t="n">
        <f aca="false">Model!B16-Model!B6</f>
        <v>0</v>
      </c>
    </row>
    <row r="7" customFormat="false" ht="15" hidden="false" customHeight="false" outlineLevel="0" collapsed="false">
      <c r="A7" s="34" t="n">
        <v>2</v>
      </c>
      <c r="B7" s="2" t="s">
        <v>293</v>
      </c>
      <c r="C7" s="35" t="str">
        <f aca="false">IF(ABS(Model!C16-Model!C6)&lt;0.05,"PASS","FAIL")</f>
        <v>PASS</v>
      </c>
      <c r="D7" s="7" t="n">
        <f aca="false">Model!C16-Model!C6</f>
        <v>0</v>
      </c>
    </row>
    <row r="8" customFormat="false" ht="15" hidden="false" customHeight="false" outlineLevel="0" collapsed="false">
      <c r="A8" s="34" t="n">
        <v>3</v>
      </c>
      <c r="B8" s="2" t="s">
        <v>294</v>
      </c>
      <c r="C8" s="35" t="str">
        <f aca="false">IF(ABS(Model!B23-Model!B8)&lt;0.005,"PASS","FAIL")</f>
        <v>PASS</v>
      </c>
      <c r="D8" s="7" t="n">
        <f aca="false">Model!B23-Model!B8</f>
        <v>0</v>
      </c>
    </row>
    <row r="9" customFormat="false" ht="15" hidden="false" customHeight="false" outlineLevel="0" collapsed="false">
      <c r="A9" s="34" t="n">
        <v>4</v>
      </c>
      <c r="B9" s="2" t="s">
        <v>295</v>
      </c>
      <c r="C9" s="35" t="str">
        <f aca="false">IF(ABS(Model!B9-0.268)&lt;0.0005,"PASS","FAIL")</f>
        <v>PASS</v>
      </c>
      <c r="D9" s="17" t="n">
        <f aca="false">Model!B9</f>
        <v>0.268191268191268</v>
      </c>
    </row>
    <row r="10" customFormat="false" ht="15" hidden="false" customHeight="false" outlineLevel="0" collapsed="false">
      <c r="A10" s="34" t="n">
        <v>5</v>
      </c>
      <c r="B10" s="2" t="s">
        <v>296</v>
      </c>
      <c r="C10" s="35" t="str">
        <f aca="false">IF(SUMPRODUCT(--(ABS(Bridge!D21:D25)&gt;0.005))=0,"PASS","FAIL")</f>
        <v>PASS</v>
      </c>
      <c r="D10" s="7" t="n">
        <f aca="false">SUMPRODUCT(ABS(Bridge!D21:D25))</f>
        <v>3.7470027081099E-016</v>
      </c>
    </row>
    <row r="11" customFormat="false" ht="15" hidden="false" customHeight="false" outlineLevel="0" collapsed="false">
      <c r="A11" s="34" t="n">
        <v>6</v>
      </c>
      <c r="B11" s="2" t="s">
        <v>297</v>
      </c>
      <c r="C11" s="35" t="str">
        <f aca="false">IF(ROUND(Scenarios!C8,6)=1,"PASS","FAIL")</f>
        <v>PASS</v>
      </c>
      <c r="D11" s="17" t="n">
        <f aca="false">Scenarios!C8</f>
        <v>1</v>
      </c>
    </row>
    <row r="12" customFormat="false" ht="15" hidden="false" customHeight="false" outlineLevel="0" collapsed="false">
      <c r="A12" s="34" t="n">
        <v>7</v>
      </c>
      <c r="B12" s="2" t="s">
        <v>298</v>
      </c>
      <c r="C12" s="35" t="str">
        <f aca="false">IF(ABS(Valuation!B7-Assumptions!$C$7)&lt;0.5,"PASS","FAIL")</f>
        <v>PASS</v>
      </c>
      <c r="D12" s="7" t="n">
        <f aca="false">Valuation!B7-Assumptions!$C$7</f>
        <v>0</v>
      </c>
    </row>
    <row r="13" customFormat="false" ht="15" hidden="false" customHeight="false" outlineLevel="0" collapsed="false">
      <c r="A13" s="34" t="n">
        <v>8</v>
      </c>
      <c r="B13" s="2" t="s">
        <v>299</v>
      </c>
      <c r="C13" s="35" t="str">
        <f aca="false">IF(ABS(Valuation!B9-Assumptions!$C$8)&lt;0.5,"PASS","FAIL")</f>
        <v>PASS</v>
      </c>
      <c r="D13" s="7" t="n">
        <f aca="false">Valuation!B9-Assumptions!$C$8</f>
        <v>0</v>
      </c>
    </row>
    <row r="14" customFormat="false" ht="15" hidden="false" customHeight="false" outlineLevel="0" collapsed="false">
      <c r="A14" s="34" t="n">
        <v>9</v>
      </c>
      <c r="B14" s="2" t="s">
        <v>300</v>
      </c>
      <c r="C14" s="35" t="str">
        <f aca="false">IF(ABS(Scenarios!B8-Valuation!B35)&lt;0.5,"PASS","FAIL")</f>
        <v>PASS</v>
      </c>
      <c r="D14" s="23" t="n">
        <f aca="false">Scenarios!B8-Valuation!B35</f>
        <v>0</v>
      </c>
    </row>
    <row r="15" customFormat="false" ht="15" hidden="false" customHeight="false" outlineLevel="0" collapsed="false">
      <c r="A15" s="34" t="n">
        <v>10</v>
      </c>
      <c r="B15" s="2" t="s">
        <v>301</v>
      </c>
      <c r="C15" s="35" t="str">
        <f aca="false">IF(DCF!B8&gt;DCF!B9,"PASS","FAIL")</f>
        <v>PASS</v>
      </c>
      <c r="D15" s="36" t="n">
        <f aca="false">DCF!B8-DCF!B9</f>
        <v>0.0705</v>
      </c>
    </row>
    <row r="16" customFormat="false" ht="15" hidden="false" customHeight="false" outlineLevel="0" collapsed="false">
      <c r="A16" s="34" t="n">
        <v>11</v>
      </c>
      <c r="B16" s="2" t="s">
        <v>302</v>
      </c>
      <c r="C16" s="35" t="str">
        <f aca="false">IF(ABS(DCF!D34-DCF!B28)&lt;0.01,"PASS","FAIL")</f>
        <v>PASS</v>
      </c>
      <c r="D16" s="23" t="n">
        <f aca="false">DCF!D34-DCF!B28</f>
        <v>0</v>
      </c>
    </row>
    <row r="17" customFormat="false" ht="15" hidden="false" customHeight="false" outlineLevel="0" collapsed="false">
      <c r="A17" s="34" t="n">
        <v>12</v>
      </c>
      <c r="B17" s="2" t="s">
        <v>303</v>
      </c>
      <c r="C17" s="35" t="str">
        <f aca="false">IF(Valuation!B28="inside range","PASS","FLAG")</f>
        <v>PASS</v>
      </c>
      <c r="D17" s="17" t="n">
        <f aca="false">Valuation!B29</f>
        <v>0</v>
      </c>
    </row>
    <row r="18" customFormat="false" ht="15" hidden="false" customHeight="false" outlineLevel="0" collapsed="false">
      <c r="A18" s="34" t="n">
        <v>13</v>
      </c>
      <c r="B18" s="2" t="s">
        <v>304</v>
      </c>
      <c r="C18" s="35" t="str">
        <f aca="false">IF(ABS(Model!F37)&lt;=Model!G37,"PASS","FLAG")</f>
        <v>PASS</v>
      </c>
      <c r="D18" s="17" t="n">
        <f aca="false">Model!F37</f>
        <v>0.0107317073170732</v>
      </c>
    </row>
    <row r="19" customFormat="false" ht="15" hidden="false" customHeight="false" outlineLevel="0" collapsed="false">
      <c r="A19" s="34" t="n">
        <v>14</v>
      </c>
      <c r="B19" s="2" t="s">
        <v>305</v>
      </c>
      <c r="C19" s="35" t="str">
        <f aca="false">IF(ABS(Model!F38)&lt;=Model!G38,"PASS","FLAG")</f>
        <v>PASS</v>
      </c>
      <c r="D19" s="17" t="n">
        <f aca="false">Model!F38</f>
        <v>0.0133333333333332</v>
      </c>
    </row>
    <row r="20" customFormat="false" ht="15" hidden="false" customHeight="false" outlineLevel="0" collapsed="false">
      <c r="A20" s="34" t="n">
        <v>15</v>
      </c>
      <c r="B20" s="2" t="s">
        <v>306</v>
      </c>
      <c r="C20" s="35" t="str">
        <f aca="false">IF(AND(Model!E37&gt;=Model!B37,Model!E37&lt;=Model!C37,Model!E38&gt;=Model!B38,Model!E38&lt;=Model!C38),"PASS","FLAG")</f>
        <v>PASS</v>
      </c>
      <c r="D20" s="7" t="n">
        <f aca="false">Model!E38-Model!D38</f>
        <v>0.0299999999999998</v>
      </c>
    </row>
    <row r="21" customFormat="false" ht="15" hidden="false" customHeight="false" outlineLevel="0" collapsed="false">
      <c r="A21" s="34" t="n">
        <v>16</v>
      </c>
      <c r="B21" s="2" t="s">
        <v>307</v>
      </c>
      <c r="C21" s="35" t="str">
        <f aca="false">IF(Model!B8=Model!B32,"PASS",IF(ABS(Model!B8-Model!B32)&lt;=0.05,"FLAG","FAIL"))</f>
        <v>FLAG</v>
      </c>
      <c r="D21" s="7" t="n">
        <f aca="false">Model!B8-Model!B32</f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6.1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4" t="s">
        <v>309</v>
      </c>
    </row>
    <row r="4" customFormat="false" ht="15" hidden="false" customHeight="false" outlineLevel="0" collapsed="false">
      <c r="A4" s="10" t="s">
        <v>215</v>
      </c>
      <c r="B4" s="11"/>
      <c r="C4" s="11"/>
      <c r="D4" s="11"/>
      <c r="E4" s="11"/>
      <c r="F4" s="11"/>
      <c r="G4" s="11"/>
      <c r="H4" s="11"/>
      <c r="I4" s="11"/>
      <c r="J4" s="11"/>
    </row>
    <row r="5" customFormat="false" ht="15" hidden="false" customHeight="false" outlineLevel="0" collapsed="false">
      <c r="A5" s="5" t="s">
        <v>63</v>
      </c>
      <c r="B5" s="5" t="s">
        <v>310</v>
      </c>
      <c r="C5" s="5" t="s">
        <v>65</v>
      </c>
      <c r="D5" s="5" t="s">
        <v>311</v>
      </c>
      <c r="E5" s="5" t="s">
        <v>312</v>
      </c>
      <c r="F5" s="5" t="s">
        <v>313</v>
      </c>
      <c r="G5" s="5" t="s">
        <v>314</v>
      </c>
      <c r="H5" s="5" t="s">
        <v>315</v>
      </c>
      <c r="I5" s="5" t="s">
        <v>26</v>
      </c>
      <c r="J5" s="5" t="s">
        <v>316</v>
      </c>
    </row>
    <row r="6" customFormat="false" ht="15" hidden="false" customHeight="false" outlineLevel="0" collapsed="false">
      <c r="A6" s="2" t="s">
        <v>317</v>
      </c>
      <c r="B6" s="2" t="s">
        <v>318</v>
      </c>
      <c r="C6" s="2" t="s">
        <v>319</v>
      </c>
      <c r="D6" s="2" t="s">
        <v>320</v>
      </c>
      <c r="E6" s="2" t="s">
        <v>321</v>
      </c>
      <c r="F6" s="2" t="s">
        <v>322</v>
      </c>
      <c r="G6" s="2" t="s">
        <v>323</v>
      </c>
      <c r="H6" s="2" t="s">
        <v>76</v>
      </c>
      <c r="I6" s="2" t="s">
        <v>73</v>
      </c>
      <c r="J6" s="2" t="s">
        <v>324</v>
      </c>
    </row>
    <row r="7" customFormat="false" ht="15" hidden="false" customHeight="false" outlineLevel="0" collapsed="false">
      <c r="A7" s="2" t="s">
        <v>325</v>
      </c>
      <c r="B7" s="2" t="s">
        <v>326</v>
      </c>
      <c r="C7" s="2" t="s">
        <v>327</v>
      </c>
      <c r="D7" s="2" t="s">
        <v>320</v>
      </c>
      <c r="E7" s="2" t="s">
        <v>321</v>
      </c>
      <c r="F7" s="2" t="s">
        <v>322</v>
      </c>
      <c r="G7" s="2" t="s">
        <v>323</v>
      </c>
      <c r="H7" s="2" t="s">
        <v>76</v>
      </c>
      <c r="I7" s="2" t="s">
        <v>73</v>
      </c>
      <c r="J7" s="2" t="s">
        <v>328</v>
      </c>
    </row>
    <row r="8" customFormat="false" ht="15" hidden="false" customHeight="false" outlineLevel="0" collapsed="false">
      <c r="A8" s="2" t="s">
        <v>329</v>
      </c>
      <c r="B8" s="2" t="s">
        <v>330</v>
      </c>
      <c r="C8" s="2" t="s">
        <v>331</v>
      </c>
      <c r="D8" s="2" t="s">
        <v>320</v>
      </c>
      <c r="E8" s="2" t="s">
        <v>321</v>
      </c>
      <c r="F8" s="2" t="s">
        <v>322</v>
      </c>
      <c r="G8" s="2" t="s">
        <v>332</v>
      </c>
      <c r="H8" s="2" t="s">
        <v>76</v>
      </c>
      <c r="I8" s="2" t="s">
        <v>73</v>
      </c>
      <c r="J8" s="2" t="s">
        <v>333</v>
      </c>
    </row>
    <row r="9" customFormat="false" ht="15" hidden="false" customHeight="false" outlineLevel="0" collapsed="false">
      <c r="A9" s="2" t="s">
        <v>334</v>
      </c>
      <c r="B9" s="2" t="s">
        <v>335</v>
      </c>
      <c r="C9" s="2" t="s">
        <v>336</v>
      </c>
      <c r="D9" s="2" t="s">
        <v>320</v>
      </c>
      <c r="E9" s="2" t="s">
        <v>321</v>
      </c>
      <c r="F9" s="2" t="s">
        <v>322</v>
      </c>
      <c r="G9" s="2" t="s">
        <v>323</v>
      </c>
      <c r="H9" s="2" t="s">
        <v>76</v>
      </c>
      <c r="I9" s="2" t="s">
        <v>73</v>
      </c>
      <c r="J9" s="2" t="s">
        <v>337</v>
      </c>
    </row>
    <row r="10" customFormat="false" ht="15" hidden="false" customHeight="false" outlineLevel="0" collapsed="false">
      <c r="A10" s="2" t="s">
        <v>338</v>
      </c>
      <c r="B10" s="2" t="s">
        <v>339</v>
      </c>
      <c r="C10" s="2" t="s">
        <v>340</v>
      </c>
      <c r="D10" s="2" t="s">
        <v>320</v>
      </c>
      <c r="E10" s="2" t="s">
        <v>341</v>
      </c>
      <c r="F10" s="2" t="s">
        <v>322</v>
      </c>
      <c r="G10" s="2" t="s">
        <v>342</v>
      </c>
      <c r="H10" s="2" t="s">
        <v>76</v>
      </c>
      <c r="I10" s="2" t="s">
        <v>73</v>
      </c>
      <c r="J10" s="2" t="s">
        <v>343</v>
      </c>
    </row>
    <row r="11" customFormat="false" ht="15" hidden="false" customHeight="false" outlineLevel="0" collapsed="false">
      <c r="A11" s="2" t="s">
        <v>344</v>
      </c>
      <c r="B11" s="2" t="s">
        <v>345</v>
      </c>
      <c r="C11" s="2" t="s">
        <v>346</v>
      </c>
      <c r="D11" s="2" t="s">
        <v>320</v>
      </c>
      <c r="E11" s="2" t="s">
        <v>341</v>
      </c>
      <c r="F11" s="2" t="s">
        <v>322</v>
      </c>
      <c r="G11" s="2" t="s">
        <v>342</v>
      </c>
      <c r="H11" s="2" t="s">
        <v>76</v>
      </c>
      <c r="I11" s="2" t="s">
        <v>73</v>
      </c>
      <c r="J11" s="2" t="s">
        <v>347</v>
      </c>
    </row>
    <row r="12" customFormat="false" ht="15" hidden="false" customHeight="false" outlineLevel="0" collapsed="false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321</v>
      </c>
      <c r="F12" s="2" t="s">
        <v>322</v>
      </c>
      <c r="G12" s="2" t="s">
        <v>352</v>
      </c>
      <c r="H12" s="2" t="s">
        <v>76</v>
      </c>
      <c r="I12" s="2" t="s">
        <v>73</v>
      </c>
      <c r="J12" s="2" t="s">
        <v>353</v>
      </c>
    </row>
    <row r="13" customFormat="false" ht="15" hidden="false" customHeight="false" outlineLevel="0" collapsed="false">
      <c r="A13" s="2" t="s">
        <v>354</v>
      </c>
      <c r="B13" s="2" t="s">
        <v>355</v>
      </c>
      <c r="C13" s="2" t="s">
        <v>356</v>
      </c>
      <c r="D13" s="2" t="s">
        <v>351</v>
      </c>
      <c r="E13" s="2" t="s">
        <v>321</v>
      </c>
      <c r="F13" s="2" t="s">
        <v>322</v>
      </c>
      <c r="G13" s="2" t="s">
        <v>352</v>
      </c>
      <c r="H13" s="2" t="s">
        <v>76</v>
      </c>
      <c r="I13" s="2" t="s">
        <v>73</v>
      </c>
      <c r="J13" s="2" t="s">
        <v>357</v>
      </c>
    </row>
    <row r="14" customFormat="false" ht="15" hidden="false" customHeight="false" outlineLevel="0" collapsed="false">
      <c r="A14" s="2" t="s">
        <v>358</v>
      </c>
      <c r="B14" s="2" t="s">
        <v>233</v>
      </c>
      <c r="C14" s="2" t="s">
        <v>359</v>
      </c>
      <c r="D14" s="2" t="s">
        <v>360</v>
      </c>
      <c r="E14" s="2" t="s">
        <v>322</v>
      </c>
      <c r="F14" s="2" t="s">
        <v>149</v>
      </c>
      <c r="G14" s="2" t="s">
        <v>361</v>
      </c>
      <c r="H14" s="2" t="s">
        <v>76</v>
      </c>
      <c r="I14" s="2" t="s">
        <v>73</v>
      </c>
      <c r="J14" s="2" t="s">
        <v>362</v>
      </c>
    </row>
    <row r="15" customFormat="false" ht="15" hidden="false" customHeight="false" outlineLevel="0" collapsed="false">
      <c r="A15" s="2" t="s">
        <v>363</v>
      </c>
      <c r="B15" s="2" t="s">
        <v>234</v>
      </c>
      <c r="C15" s="2" t="s">
        <v>364</v>
      </c>
      <c r="D15" s="2" t="s">
        <v>365</v>
      </c>
      <c r="E15" s="2" t="s">
        <v>321</v>
      </c>
      <c r="F15" s="2" t="s">
        <v>322</v>
      </c>
      <c r="G15" s="2" t="s">
        <v>366</v>
      </c>
      <c r="H15" s="2" t="s">
        <v>76</v>
      </c>
      <c r="I15" s="2" t="s">
        <v>73</v>
      </c>
      <c r="J15" s="2" t="s">
        <v>367</v>
      </c>
    </row>
    <row r="16" customFormat="false" ht="15" hidden="false" customHeight="false" outlineLevel="0" collapsed="false">
      <c r="A16" s="2" t="s">
        <v>368</v>
      </c>
      <c r="B16" s="2" t="s">
        <v>186</v>
      </c>
      <c r="C16" s="2" t="s">
        <v>369</v>
      </c>
      <c r="D16" s="2" t="s">
        <v>370</v>
      </c>
      <c r="E16" s="2" t="s">
        <v>321</v>
      </c>
      <c r="F16" s="2" t="s">
        <v>149</v>
      </c>
      <c r="G16" s="2" t="s">
        <v>149</v>
      </c>
      <c r="H16" s="2" t="s">
        <v>76</v>
      </c>
      <c r="I16" s="2" t="s">
        <v>101</v>
      </c>
      <c r="J16" s="2" t="s">
        <v>371</v>
      </c>
    </row>
    <row r="17" customFormat="false" ht="15" hidden="false" customHeight="false" outlineLevel="0" collapsed="false">
      <c r="A17" s="2" t="s">
        <v>372</v>
      </c>
      <c r="B17" s="2" t="s">
        <v>373</v>
      </c>
      <c r="C17" s="2" t="s">
        <v>369</v>
      </c>
      <c r="D17" s="2" t="s">
        <v>37</v>
      </c>
      <c r="E17" s="2" t="s">
        <v>374</v>
      </c>
      <c r="F17" s="2" t="s">
        <v>149</v>
      </c>
      <c r="G17" s="2" t="s">
        <v>149</v>
      </c>
      <c r="H17" s="2" t="s">
        <v>76</v>
      </c>
      <c r="I17" s="2" t="s">
        <v>93</v>
      </c>
      <c r="J17" s="2" t="s">
        <v>375</v>
      </c>
    </row>
    <row r="18" customFormat="false" ht="15" hidden="false" customHeight="false" outlineLevel="0" collapsed="false">
      <c r="A18" s="2" t="s">
        <v>376</v>
      </c>
      <c r="B18" s="2" t="s">
        <v>377</v>
      </c>
      <c r="C18" s="2" t="s">
        <v>378</v>
      </c>
      <c r="D18" s="2" t="s">
        <v>379</v>
      </c>
      <c r="E18" s="2" t="s">
        <v>322</v>
      </c>
      <c r="F18" s="2" t="s">
        <v>149</v>
      </c>
      <c r="G18" s="2" t="s">
        <v>380</v>
      </c>
      <c r="H18" s="2" t="s">
        <v>76</v>
      </c>
      <c r="I18" s="2" t="s">
        <v>73</v>
      </c>
      <c r="J18" s="2" t="s">
        <v>381</v>
      </c>
    </row>
    <row r="19" customFormat="false" ht="15" hidden="false" customHeight="false" outlineLevel="0" collapsed="false">
      <c r="A19" s="2" t="s">
        <v>382</v>
      </c>
      <c r="B19" s="2" t="s">
        <v>383</v>
      </c>
      <c r="C19" s="2" t="s">
        <v>384</v>
      </c>
      <c r="D19" s="2" t="s">
        <v>385</v>
      </c>
      <c r="E19" s="2" t="s">
        <v>386</v>
      </c>
      <c r="F19" s="2" t="s">
        <v>149</v>
      </c>
      <c r="G19" s="2" t="s">
        <v>387</v>
      </c>
      <c r="H19" s="2" t="s">
        <v>76</v>
      </c>
      <c r="I19" s="2" t="s">
        <v>73</v>
      </c>
      <c r="J19" s="2" t="s">
        <v>388</v>
      </c>
    </row>
    <row r="21" customFormat="false" ht="15" hidden="false" customHeight="false" outlineLevel="0" collapsed="false">
      <c r="A21" s="10" t="s">
        <v>389</v>
      </c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23.85" hidden="false" customHeight="false" outlineLevel="0" collapsed="false">
      <c r="A22" s="5" t="s">
        <v>63</v>
      </c>
      <c r="B22" s="5" t="s">
        <v>390</v>
      </c>
      <c r="C22" s="5" t="s">
        <v>173</v>
      </c>
      <c r="D22" s="5" t="s">
        <v>391</v>
      </c>
      <c r="E22" s="5" t="s">
        <v>288</v>
      </c>
      <c r="F22" s="5" t="s">
        <v>392</v>
      </c>
    </row>
    <row r="23" customFormat="false" ht="15" hidden="false" customHeight="false" outlineLevel="0" collapsed="false">
      <c r="A23" s="2" t="s">
        <v>393</v>
      </c>
      <c r="B23" s="2" t="s">
        <v>394</v>
      </c>
      <c r="C23" s="2" t="s">
        <v>395</v>
      </c>
      <c r="D23" s="2" t="s">
        <v>396</v>
      </c>
      <c r="E23" s="2" t="s">
        <v>397</v>
      </c>
      <c r="F23" s="2" t="s">
        <v>398</v>
      </c>
    </row>
    <row r="24" customFormat="false" ht="15" hidden="false" customHeight="false" outlineLevel="0" collapsed="false">
      <c r="A24" s="2" t="s">
        <v>399</v>
      </c>
      <c r="B24" s="2" t="s">
        <v>400</v>
      </c>
      <c r="C24" s="2" t="s">
        <v>401</v>
      </c>
      <c r="D24" s="2" t="s">
        <v>402</v>
      </c>
      <c r="E24" s="2" t="s">
        <v>397</v>
      </c>
      <c r="F24" s="2" t="s">
        <v>403</v>
      </c>
    </row>
    <row r="25" customFormat="false" ht="15" hidden="false" customHeight="false" outlineLevel="0" collapsed="false">
      <c r="A25" s="2" t="s">
        <v>404</v>
      </c>
      <c r="B25" s="2" t="s">
        <v>405</v>
      </c>
      <c r="C25" s="2" t="s">
        <v>406</v>
      </c>
      <c r="D25" s="2" t="s">
        <v>407</v>
      </c>
      <c r="E25" s="2" t="s">
        <v>397</v>
      </c>
      <c r="F25" s="2" t="s">
        <v>408</v>
      </c>
    </row>
    <row r="26" customFormat="false" ht="15" hidden="false" customHeight="false" outlineLevel="0" collapsed="false">
      <c r="A26" s="2" t="s">
        <v>409</v>
      </c>
      <c r="B26" s="2" t="s">
        <v>405</v>
      </c>
      <c r="C26" s="2" t="s">
        <v>410</v>
      </c>
      <c r="D26" s="2" t="s">
        <v>411</v>
      </c>
      <c r="E26" s="2" t="s">
        <v>397</v>
      </c>
      <c r="F26" s="2" t="s">
        <v>412</v>
      </c>
    </row>
    <row r="27" customFormat="false" ht="15" hidden="false" customHeight="false" outlineLevel="0" collapsed="false">
      <c r="A27" s="2" t="s">
        <v>413</v>
      </c>
      <c r="B27" s="2" t="s">
        <v>405</v>
      </c>
      <c r="C27" s="2" t="s">
        <v>414</v>
      </c>
      <c r="D27" s="2" t="s">
        <v>415</v>
      </c>
      <c r="E27" s="2" t="s">
        <v>397</v>
      </c>
      <c r="F27" s="2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2026-10-27T08:36:49Z</dcterms:created>
  <dc:creator>openpyxl</dc:creator>
  <dc:description/>
  <dc:language>en-US</dc:language>
  <cp:lastModifiedBy/>
  <dcterms:modified xsi:type="dcterms:W3CDTF">2026-10-27T08:36:49Z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